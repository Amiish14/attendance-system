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anima Mukherjee\Downloads\"/>
    </mc:Choice>
  </mc:AlternateContent>
  <xr:revisionPtr revIDLastSave="0" documentId="13_ncr:1_{E0864C23-C295-4958-AFDC-8F0711D7CE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n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6" i="1" l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7" i="1"/>
  <c r="W3" i="1"/>
  <c r="W4" i="1"/>
  <c r="W5" i="1"/>
  <c r="W6" i="1"/>
  <c r="W2" i="1"/>
</calcChain>
</file>

<file path=xl/sharedStrings.xml><?xml version="1.0" encoding="utf-8"?>
<sst xmlns="http://schemas.openxmlformats.org/spreadsheetml/2006/main" count="428" uniqueCount="308">
  <si>
    <t>Sl</t>
  </si>
  <si>
    <t>Emp Code</t>
  </si>
  <si>
    <t>Employee</t>
  </si>
  <si>
    <t>Department</t>
  </si>
  <si>
    <t>Bank A/c</t>
  </si>
  <si>
    <t>IFSC</t>
  </si>
  <si>
    <t>Days paid</t>
  </si>
  <si>
    <t>Basic</t>
  </si>
  <si>
    <t>HRA</t>
  </si>
  <si>
    <t>Special</t>
  </si>
  <si>
    <t>LTA</t>
  </si>
  <si>
    <t>Medical</t>
  </si>
  <si>
    <t>Bonus</t>
  </si>
  <si>
    <t>Gross Earnings</t>
  </si>
  <si>
    <t>PF (EE)</t>
  </si>
  <si>
    <t>ESIC (EE)</t>
  </si>
  <si>
    <t>P.Tax</t>
  </si>
  <si>
    <t>Income Tax</t>
  </si>
  <si>
    <t>Loan EMI</t>
  </si>
  <si>
    <t>Total Deductions</t>
  </si>
  <si>
    <t>Net Pay</t>
  </si>
  <si>
    <t>PF (ER)</t>
  </si>
  <si>
    <t>ESIC (ER)</t>
  </si>
  <si>
    <t>Gratuity Prov.</t>
  </si>
  <si>
    <t>CTC Monthly Approx</t>
  </si>
  <si>
    <t>CON142024</t>
  </si>
  <si>
    <t>SEEMA SANJEEV MOGHE</t>
  </si>
  <si>
    <t>PFM</t>
  </si>
  <si>
    <t>CON152014</t>
  </si>
  <si>
    <t>RAJENDER PRASAD SHAH</t>
  </si>
  <si>
    <t>Corporate</t>
  </si>
  <si>
    <t>CON242017</t>
  </si>
  <si>
    <t>LAKSHMI NARAYAN</t>
  </si>
  <si>
    <t>PTM</t>
  </si>
  <si>
    <t>CON252022</t>
  </si>
  <si>
    <t>SAMSUL HUSSAIN</t>
  </si>
  <si>
    <t>Installation</t>
  </si>
  <si>
    <t>CON1352025</t>
  </si>
  <si>
    <t>KHUSHBUBEN VINODBHAI JHILKA</t>
  </si>
  <si>
    <t>Finance</t>
  </si>
  <si>
    <t>EMP12010</t>
  </si>
  <si>
    <t>NITIN RAWAT</t>
  </si>
  <si>
    <t>EMP22010</t>
  </si>
  <si>
    <t>RAJEEV RANJAN</t>
  </si>
  <si>
    <t>EMP112010</t>
  </si>
  <si>
    <t>SANJEEV KUMAR PALIWAL</t>
  </si>
  <si>
    <t>EMP132010</t>
  </si>
  <si>
    <t>SAHADEB SAHOO</t>
  </si>
  <si>
    <t>EMP142010</t>
  </si>
  <si>
    <t>RANJIT GOGOI</t>
  </si>
  <si>
    <t>EMP162010</t>
  </si>
  <si>
    <t>MOHD RAHIMUDDIN RAHIMUDDIN</t>
  </si>
  <si>
    <t>EMP172010</t>
  </si>
  <si>
    <t>MANJURUL HOQUE</t>
  </si>
  <si>
    <t>EMP182010</t>
  </si>
  <si>
    <t>K UMAMAHESWARA RAO</t>
  </si>
  <si>
    <t>EMP212010</t>
  </si>
  <si>
    <t>AJIT KUMAR DAS</t>
  </si>
  <si>
    <t>EMP242010</t>
  </si>
  <si>
    <t>LAXMI RAM SINGH</t>
  </si>
  <si>
    <t>EMP372011</t>
  </si>
  <si>
    <t>SANJNA VARDHAN</t>
  </si>
  <si>
    <t>EMP472012</t>
  </si>
  <si>
    <t>GOWDHAMAN RAJAKRISHNAN</t>
  </si>
  <si>
    <t>EMP1062016</t>
  </si>
  <si>
    <t>KAMRUL ISLAM</t>
  </si>
  <si>
    <t>EMP1082016</t>
  </si>
  <si>
    <t>NISHIT RANJAN DAS</t>
  </si>
  <si>
    <t>EMP1112016</t>
  </si>
  <si>
    <t>BIJOY KONWAR</t>
  </si>
  <si>
    <t>EMP1172016</t>
  </si>
  <si>
    <t>NARENDER SINGH</t>
  </si>
  <si>
    <t>EMP1282017</t>
  </si>
  <si>
    <t>PRAVINKUMAR ARUMUGAM</t>
  </si>
  <si>
    <t>EMP1322017</t>
  </si>
  <si>
    <t>RAM Mohan CHAUBEY</t>
  </si>
  <si>
    <t>EMP1332017</t>
  </si>
  <si>
    <t>SANTOSH KUMAR</t>
  </si>
  <si>
    <t>EMP1342017</t>
  </si>
  <si>
    <t>PRAMOD Kumar SUKLA</t>
  </si>
  <si>
    <t>EMP1372017</t>
  </si>
  <si>
    <t>DINESH DUBEY</t>
  </si>
  <si>
    <t>EMP1472018</t>
  </si>
  <si>
    <t>KULDIP KUMAR</t>
  </si>
  <si>
    <t>EMP1482018</t>
  </si>
  <si>
    <t>PRATAP Singh (BLADE</t>
  </si>
  <si>
    <t>EMP1492018</t>
  </si>
  <si>
    <t>CHAKRADHAR SAHOO</t>
  </si>
  <si>
    <t>EMP1502018</t>
  </si>
  <si>
    <t>DEVENDRA SUBHASH</t>
  </si>
  <si>
    <t>EMP1552018</t>
  </si>
  <si>
    <t>ABHISHEK SINGH</t>
  </si>
  <si>
    <t>EMP1602018</t>
  </si>
  <si>
    <t>SANTHOSH P</t>
  </si>
  <si>
    <t>EMP1612018</t>
  </si>
  <si>
    <t>AMIT KUMAR</t>
  </si>
  <si>
    <t>EMP1662018</t>
  </si>
  <si>
    <t>PHOOL CHANDRA YUDHISHIR</t>
  </si>
  <si>
    <t>EMP1672018</t>
  </si>
  <si>
    <t>PARTAB SINGH</t>
  </si>
  <si>
    <t>EMP1702018</t>
  </si>
  <si>
    <t>SURENDAR SINGH</t>
  </si>
  <si>
    <t>EMP2752021</t>
  </si>
  <si>
    <t>SAGAR BHOGLE</t>
  </si>
  <si>
    <t>EMP2782022</t>
  </si>
  <si>
    <t>GAJANAN NARAYAN NAGLOT</t>
  </si>
  <si>
    <t>CWC</t>
  </si>
  <si>
    <t>EMP2792022</t>
  </si>
  <si>
    <t>SWAPNIL SUNIL JADHAV</t>
  </si>
  <si>
    <t>EMP2802022</t>
  </si>
  <si>
    <t>AMOL BHAGVAN NIKAM</t>
  </si>
  <si>
    <t>EMP2832022</t>
  </si>
  <si>
    <t>MOHANRAJ R</t>
  </si>
  <si>
    <t>EMP2882022</t>
  </si>
  <si>
    <t>SEEMA CHATTOPADHYAY</t>
  </si>
  <si>
    <t>EMP2902022</t>
  </si>
  <si>
    <t>VIPUL SINH ZALA</t>
  </si>
  <si>
    <t>VARODARA</t>
  </si>
  <si>
    <t>EMP2952023</t>
  </si>
  <si>
    <t>RAMESHWAR NIHALSINGH GUSINGE</t>
  </si>
  <si>
    <t>FGAHR</t>
  </si>
  <si>
    <t>EMP2962023</t>
  </si>
  <si>
    <t>SHASHIDHAR PANDURANG NAIK</t>
  </si>
  <si>
    <t>GOA</t>
  </si>
  <si>
    <t>EMP2972023</t>
  </si>
  <si>
    <t>JAYANTA KUMAR PAUL</t>
  </si>
  <si>
    <t>EMP2982023</t>
  </si>
  <si>
    <t>SHARAYU UDAY BHOSALE</t>
  </si>
  <si>
    <t>EMP2992023</t>
  </si>
  <si>
    <t>DIPANKA TALUKDER</t>
  </si>
  <si>
    <t>EMP3022023</t>
  </si>
  <si>
    <t>BHUSHAN B BHAGAT</t>
  </si>
  <si>
    <t>EMP3042023</t>
  </si>
  <si>
    <t>VISHAL RAOSAHEB MAGAR</t>
  </si>
  <si>
    <t>EMP3062023</t>
  </si>
  <si>
    <t>NITIN AMBADAS PAWAR</t>
  </si>
  <si>
    <t>EMP3072023</t>
  </si>
  <si>
    <t>SOHEL MAINOOR SHAIKH</t>
  </si>
  <si>
    <t>EMP3092023</t>
  </si>
  <si>
    <t>SATISH DATTA NAVGHARE</t>
  </si>
  <si>
    <t>E74</t>
  </si>
  <si>
    <t>EMP3172023</t>
  </si>
  <si>
    <t>EKBAL CHANDPASHA SHAIKH</t>
  </si>
  <si>
    <t>Warehouse</t>
  </si>
  <si>
    <t>EMP3192023</t>
  </si>
  <si>
    <t>PANJAB DINKAR PISE</t>
  </si>
  <si>
    <t>EMP3202023</t>
  </si>
  <si>
    <t>SHIVAJI ASHOK DHUMAL</t>
  </si>
  <si>
    <t>EMP3212023</t>
  </si>
  <si>
    <t>SACHIN THAKUR</t>
  </si>
  <si>
    <t>EMP3222023</t>
  </si>
  <si>
    <t>SAYANTI  GHOSH</t>
  </si>
  <si>
    <t>EMP3282023</t>
  </si>
  <si>
    <t>JONES GEORGE T</t>
  </si>
  <si>
    <t>EMP3292023</t>
  </si>
  <si>
    <t>ZAHID KHAN</t>
  </si>
  <si>
    <t>EMP3322023</t>
  </si>
  <si>
    <t>ARYAAN  SHAIKH</t>
  </si>
  <si>
    <t>EMP3372024</t>
  </si>
  <si>
    <t>SAYANTAN NASKAR</t>
  </si>
  <si>
    <t>JOKA</t>
  </si>
  <si>
    <t>EMP3382024</t>
  </si>
  <si>
    <t>YOGESH KUMAR RAJASEKARAN</t>
  </si>
  <si>
    <t>EMP3482024</t>
  </si>
  <si>
    <t>SHRIRAM DATTU PATIL</t>
  </si>
  <si>
    <t>EMP3532024</t>
  </si>
  <si>
    <t>SURESH  KUMAR</t>
  </si>
  <si>
    <t>PTM-M</t>
  </si>
  <si>
    <t>EMP3542024</t>
  </si>
  <si>
    <t>SAYAN  DAS</t>
  </si>
  <si>
    <t>EMP3552024</t>
  </si>
  <si>
    <t>KARTHIKEYAN  R</t>
  </si>
  <si>
    <t>EMP3592024</t>
  </si>
  <si>
    <t>AMIT KAKKAR</t>
  </si>
  <si>
    <t>EMP3602024</t>
  </si>
  <si>
    <t>AHMAD ALI</t>
  </si>
  <si>
    <t>EMP3612024</t>
  </si>
  <si>
    <t>KAMAR KHAN</t>
  </si>
  <si>
    <t>EMP3642024</t>
  </si>
  <si>
    <t>SOUVIK CHAKRABORTY</t>
  </si>
  <si>
    <t>EMP3652025</t>
  </si>
  <si>
    <t>SUMIT MONDAL</t>
  </si>
  <si>
    <t>EMP3672025</t>
  </si>
  <si>
    <t>AKASH PRABU</t>
  </si>
  <si>
    <t>EMP3832025</t>
  </si>
  <si>
    <t>VISHAL PUNDLIK BHOKRE</t>
  </si>
  <si>
    <t>EMP3842025</t>
  </si>
  <si>
    <t>SAURABH RAMESH WAGHMARE</t>
  </si>
  <si>
    <t>EMP3852025</t>
  </si>
  <si>
    <t>AVINASH TUKARAM GHATUL</t>
  </si>
  <si>
    <t>EMP3862025</t>
  </si>
  <si>
    <t>CHANDRESH KUMAR BAIJNATH YADAV</t>
  </si>
  <si>
    <t>EMP3882025</t>
  </si>
  <si>
    <t>SUNDHAR RAJAN S</t>
  </si>
  <si>
    <t>EMP3892025</t>
  </si>
  <si>
    <t>BHAVIN VINODHBHAI JIILKA</t>
  </si>
  <si>
    <t>EMP3902025</t>
  </si>
  <si>
    <t>BALA MURUGAN T</t>
  </si>
  <si>
    <t>EMP3932025</t>
  </si>
  <si>
    <t>Manish Kumar Bhakta</t>
  </si>
  <si>
    <t>EMP3942025</t>
  </si>
  <si>
    <t>ANIKET RAY CHAUDHURI</t>
  </si>
  <si>
    <t>EMP3952025</t>
  </si>
  <si>
    <t>VENKATESH RAMARAO ALTHADA</t>
  </si>
  <si>
    <t>EMP3962025</t>
  </si>
  <si>
    <t>DHANASHREE HARISHCHANDRA PAWAR</t>
  </si>
  <si>
    <t>EMP3972025</t>
  </si>
  <si>
    <t>SAMIKSHA CHANDRAKANT VAYNGANKAR</t>
  </si>
  <si>
    <t>EMP3982025</t>
  </si>
  <si>
    <t>ASHITOSH SARJERAO GHOLAP</t>
  </si>
  <si>
    <t>EMP3992025</t>
  </si>
  <si>
    <t>HAZARAT ALI</t>
  </si>
  <si>
    <t>EMP4002025</t>
  </si>
  <si>
    <t>MD  INAMUDDIN</t>
  </si>
  <si>
    <t>EMP4022025</t>
  </si>
  <si>
    <t>VIKRANT VATS</t>
  </si>
  <si>
    <t>EMP4032025</t>
  </si>
  <si>
    <t>PRAMOD KUMAR</t>
  </si>
  <si>
    <t>EMP4042026</t>
  </si>
  <si>
    <t>GURUSWAMI MOHANTA</t>
  </si>
  <si>
    <t>EMP4052026</t>
  </si>
  <si>
    <t>AKRAM MAHMUD MUJAWAR</t>
  </si>
  <si>
    <t>EMP4062026</t>
  </si>
  <si>
    <t>PRAVIN ABASAHEB BARDE</t>
  </si>
  <si>
    <t>EMP4072026</t>
  </si>
  <si>
    <t>DIPANSHU KUMAR SINGH</t>
  </si>
  <si>
    <t>EMP4082026</t>
  </si>
  <si>
    <t>KESHVANI ANKIT NILESHBHAI</t>
  </si>
  <si>
    <t>EMP4092026</t>
  </si>
  <si>
    <t>PRAVIN  CHOUDHARY</t>
  </si>
  <si>
    <t>EMP4102026</t>
  </si>
  <si>
    <t>ARUMUGAM PANDI</t>
  </si>
  <si>
    <t>EMP4112026</t>
  </si>
  <si>
    <t>DILKASH  KHAN</t>
  </si>
  <si>
    <t>EMP4122026</t>
  </si>
  <si>
    <t>PONNUSAMY G</t>
  </si>
  <si>
    <t>EMP4132026</t>
  </si>
  <si>
    <t>AMOL P GADE</t>
  </si>
  <si>
    <t>EMP4142026</t>
  </si>
  <si>
    <t>SUNIL KUNJAR</t>
  </si>
  <si>
    <t>EMP4152026</t>
  </si>
  <si>
    <t>PRASHANT TARAK</t>
  </si>
  <si>
    <t>EMP482012</t>
  </si>
  <si>
    <t>SAKTHEESWARI MURUGAVEL</t>
  </si>
  <si>
    <t>EMP572012</t>
  </si>
  <si>
    <t>VIJAY T V</t>
  </si>
  <si>
    <t>EMP812015</t>
  </si>
  <si>
    <t>RAMESH Yadav SECHAE</t>
  </si>
  <si>
    <t>EMP1682018</t>
  </si>
  <si>
    <t>TAHIRUL HAQUE</t>
  </si>
  <si>
    <t>EMP2122018</t>
  </si>
  <si>
    <t>GAJENDRA KUMAR GIRI</t>
  </si>
  <si>
    <t>EMP2482019</t>
  </si>
  <si>
    <t>TANIMA MUKHERJEE</t>
  </si>
  <si>
    <t>EMP2582020</t>
  </si>
  <si>
    <t>DATTARAM MAHALIM</t>
  </si>
  <si>
    <t>EMP2622020</t>
  </si>
  <si>
    <t>ARITRA MITRA</t>
  </si>
  <si>
    <t>EMP2642021</t>
  </si>
  <si>
    <t>KUMAR SATYAM RAY</t>
  </si>
  <si>
    <t>EMP3102023</t>
  </si>
  <si>
    <t>BALU BHAGOVRAO JOGDANAD</t>
  </si>
  <si>
    <t>EMP3122023</t>
  </si>
  <si>
    <t>Sunita Naga Alkar</t>
  </si>
  <si>
    <t>EMP3132023</t>
  </si>
  <si>
    <t>BIDISHA BANERJEE</t>
  </si>
  <si>
    <t>EMP3142023</t>
  </si>
  <si>
    <t>Balkrishnan Sharma</t>
  </si>
  <si>
    <t>EMP3152023</t>
  </si>
  <si>
    <t>ANURAG Uday CHAND</t>
  </si>
  <si>
    <t>EMP3162023</t>
  </si>
  <si>
    <t>BIRENDRA KUMAR</t>
  </si>
  <si>
    <t>EMP3702025</t>
  </si>
  <si>
    <t>SURANJAN AON</t>
  </si>
  <si>
    <t>EMP3732025</t>
  </si>
  <si>
    <t>BIKASH  ROUTH</t>
  </si>
  <si>
    <t>EMP3742025</t>
  </si>
  <si>
    <t>MUNTAZIR ALAM</t>
  </si>
  <si>
    <t>EMP3752025</t>
  </si>
  <si>
    <t>VIKASH DUBEY</t>
  </si>
  <si>
    <t>EMP3762025</t>
  </si>
  <si>
    <t>PARVEEN SHARMA</t>
  </si>
  <si>
    <t>EMP3772025</t>
  </si>
  <si>
    <t>SANJAY BHITE</t>
  </si>
  <si>
    <t>EMP3782025</t>
  </si>
  <si>
    <t>SATISH JADHAV</t>
  </si>
  <si>
    <t>EMP3802025</t>
  </si>
  <si>
    <t>KAPIL BEKANALE</t>
  </si>
  <si>
    <t>EMP3822025</t>
  </si>
  <si>
    <t>AKASH SOMNATH NARAYNE</t>
  </si>
  <si>
    <t>EMP4162026</t>
  </si>
  <si>
    <t>NAYAN RAJURKAR</t>
  </si>
  <si>
    <t>EMP4172026</t>
  </si>
  <si>
    <t>ABHIJEET BILWAL</t>
  </si>
  <si>
    <t>EMP4182026</t>
  </si>
  <si>
    <t>DINESH UTTAMRAO POHARE</t>
  </si>
  <si>
    <t>EMP4192026</t>
  </si>
  <si>
    <t>KARAN SANTOSH TUPSHENDRE</t>
  </si>
  <si>
    <t>EMP4202026</t>
  </si>
  <si>
    <t>VITTHAL SOPANRAO ANDHALE</t>
  </si>
  <si>
    <t>EMP4212026</t>
  </si>
  <si>
    <t>NACHIKET DEEPAK KAUSADIKAR</t>
  </si>
  <si>
    <t>EMP4222026</t>
  </si>
  <si>
    <t>SAJIDSHA MOHAMEDSHA DIWAN</t>
  </si>
  <si>
    <t>EMP4232026</t>
  </si>
  <si>
    <t>SACHIN CHAVAN</t>
  </si>
  <si>
    <t xml:space="preserve">FactoHR 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</si>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</sst>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C1D2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ill="1"/>
    <xf numFmtId="0" fontId="0" fillId="0" borderId="1" xfId="0" applyBorder="1"/>
    <xf numFmtId="4" fontId="2" fillId="0" borderId="1" xfId="0" applyNumberFormat="1" applyFont="1" applyFill="1" applyBorder="1"/>
  </cellXfs>
  <cellStyles count="1">
    <cellStyle name="Normal" xfId="0" builtinId="0"/>
  </cellStyles>
  <dxfs count="90"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6"/>
  <sheetViews>
    <sheetView tabSelected="1" workbookViewId="0">
      <selection activeCell="A2" sqref="A2:AA136"/>
    </sheetView>
  </sheetViews>
  <sheetFormatPr defaultRowHeight="14.4" x14ac:dyDescent="0.3"/>
  <cols>
    <col min="1" max="3" width="16" customWidth="1"/>
    <col min="4" max="20" width="16" hidden="1" customWidth="1"/>
    <col min="21" max="22" width="16" customWidth="1"/>
    <col min="23" max="23" width="16" style="2" customWidth="1"/>
    <col min="24" max="27" width="16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306</v>
      </c>
      <c r="W1" s="1" t="s">
        <v>307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ht="18" x14ac:dyDescent="0.35">
      <c r="A2" s="3">
        <v>1</v>
      </c>
      <c r="B2" s="3" t="s">
        <v>25</v>
      </c>
      <c r="C2" s="3" t="s">
        <v>26</v>
      </c>
      <c r="D2" s="3" t="s">
        <v>27</v>
      </c>
      <c r="E2" s="3"/>
      <c r="F2" s="3"/>
      <c r="G2" s="3">
        <v>26</v>
      </c>
      <c r="H2" s="3">
        <v>45980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45980</v>
      </c>
      <c r="O2" s="3">
        <v>0</v>
      </c>
      <c r="P2" s="3">
        <v>0</v>
      </c>
      <c r="Q2" s="3">
        <v>0</v>
      </c>
      <c r="R2" s="3">
        <v>4598</v>
      </c>
      <c r="S2" s="3">
        <v>0</v>
      </c>
      <c r="T2" s="3">
        <v>4598</v>
      </c>
      <c r="U2" s="3">
        <v>41382</v>
      </c>
      <c r="V2" s="3">
        <v>41382</v>
      </c>
      <c r="W2" s="4">
        <f>U2-V2</f>
        <v>0</v>
      </c>
      <c r="X2" s="3">
        <v>0</v>
      </c>
      <c r="Y2" s="3">
        <v>0</v>
      </c>
      <c r="Z2" s="3">
        <v>2212</v>
      </c>
      <c r="AA2" s="3">
        <v>48192</v>
      </c>
    </row>
    <row r="3" spans="1:27" ht="18" x14ac:dyDescent="0.35">
      <c r="A3" s="3">
        <v>2</v>
      </c>
      <c r="B3" s="3" t="s">
        <v>28</v>
      </c>
      <c r="C3" s="3" t="s">
        <v>29</v>
      </c>
      <c r="D3" s="3" t="s">
        <v>30</v>
      </c>
      <c r="E3" s="3"/>
      <c r="F3" s="3"/>
      <c r="G3" s="3">
        <v>26</v>
      </c>
      <c r="H3" s="3">
        <v>73260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73260</v>
      </c>
      <c r="O3" s="3">
        <v>0</v>
      </c>
      <c r="P3" s="3">
        <v>0</v>
      </c>
      <c r="Q3" s="3">
        <v>0</v>
      </c>
      <c r="R3" s="3">
        <v>7326</v>
      </c>
      <c r="S3" s="3">
        <v>0</v>
      </c>
      <c r="T3" s="3">
        <v>7326</v>
      </c>
      <c r="U3" s="3">
        <v>65934</v>
      </c>
      <c r="V3" s="3">
        <v>65934</v>
      </c>
      <c r="W3" s="4">
        <f>U3-V3</f>
        <v>0</v>
      </c>
      <c r="X3" s="3">
        <v>0</v>
      </c>
      <c r="Y3" s="3">
        <v>0</v>
      </c>
      <c r="Z3" s="3">
        <v>3524</v>
      </c>
      <c r="AA3" s="3">
        <v>76784</v>
      </c>
    </row>
    <row r="4" spans="1:27" ht="18" x14ac:dyDescent="0.35">
      <c r="A4" s="3">
        <v>3</v>
      </c>
      <c r="B4" s="3" t="s">
        <v>31</v>
      </c>
      <c r="C4" s="3" t="s">
        <v>32</v>
      </c>
      <c r="D4" s="3" t="s">
        <v>33</v>
      </c>
      <c r="E4" s="3"/>
      <c r="F4" s="3"/>
      <c r="G4" s="3">
        <v>26</v>
      </c>
      <c r="H4" s="3">
        <v>133870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133870</v>
      </c>
      <c r="O4" s="3">
        <v>0</v>
      </c>
      <c r="P4" s="3">
        <v>0</v>
      </c>
      <c r="Q4" s="3">
        <v>0</v>
      </c>
      <c r="R4" s="3">
        <v>13387</v>
      </c>
      <c r="S4" s="3">
        <v>0</v>
      </c>
      <c r="T4" s="3">
        <v>13387</v>
      </c>
      <c r="U4" s="3">
        <v>120483</v>
      </c>
      <c r="V4" s="3">
        <v>120483</v>
      </c>
      <c r="W4" s="4">
        <f>U4-V4</f>
        <v>0</v>
      </c>
      <c r="X4" s="3">
        <v>0</v>
      </c>
      <c r="Y4" s="3">
        <v>0</v>
      </c>
      <c r="Z4" s="3">
        <v>6439</v>
      </c>
      <c r="AA4" s="3">
        <v>140309</v>
      </c>
    </row>
    <row r="5" spans="1:27" ht="18" x14ac:dyDescent="0.35">
      <c r="A5" s="3">
        <v>4</v>
      </c>
      <c r="B5" s="3" t="s">
        <v>34</v>
      </c>
      <c r="C5" s="3" t="s">
        <v>35</v>
      </c>
      <c r="D5" s="3" t="s">
        <v>36</v>
      </c>
      <c r="E5" s="3"/>
      <c r="F5" s="3"/>
      <c r="G5" s="3">
        <v>26</v>
      </c>
      <c r="H5" s="3">
        <v>48400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48400</v>
      </c>
      <c r="O5" s="3">
        <v>0</v>
      </c>
      <c r="P5" s="3">
        <v>0</v>
      </c>
      <c r="Q5" s="3">
        <v>0</v>
      </c>
      <c r="R5" s="3">
        <v>4840</v>
      </c>
      <c r="S5" s="3">
        <v>0</v>
      </c>
      <c r="T5" s="3">
        <v>4840</v>
      </c>
      <c r="U5" s="3">
        <v>43560</v>
      </c>
      <c r="V5" s="3">
        <v>43560</v>
      </c>
      <c r="W5" s="4">
        <f>U5-V5</f>
        <v>0</v>
      </c>
      <c r="X5" s="3">
        <v>0</v>
      </c>
      <c r="Y5" s="3">
        <v>0</v>
      </c>
      <c r="Z5" s="3">
        <v>2328</v>
      </c>
      <c r="AA5" s="3">
        <v>50728</v>
      </c>
    </row>
    <row r="6" spans="1:27" ht="18" x14ac:dyDescent="0.35">
      <c r="A6" s="3">
        <v>5</v>
      </c>
      <c r="B6" s="3" t="s">
        <v>37</v>
      </c>
      <c r="C6" s="3" t="s">
        <v>38</v>
      </c>
      <c r="D6" s="3" t="s">
        <v>39</v>
      </c>
      <c r="E6" s="3"/>
      <c r="F6" s="3"/>
      <c r="G6" s="3">
        <v>26</v>
      </c>
      <c r="H6" s="3">
        <v>41250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41250</v>
      </c>
      <c r="O6" s="3">
        <v>0</v>
      </c>
      <c r="P6" s="3">
        <v>0</v>
      </c>
      <c r="Q6" s="3">
        <v>0</v>
      </c>
      <c r="R6" s="3">
        <v>4125</v>
      </c>
      <c r="S6" s="3">
        <v>0</v>
      </c>
      <c r="T6" s="3">
        <v>4125</v>
      </c>
      <c r="U6" s="3">
        <v>37125</v>
      </c>
      <c r="V6" s="3">
        <v>37125</v>
      </c>
      <c r="W6" s="4">
        <f>U6-V6</f>
        <v>0</v>
      </c>
      <c r="X6" s="3">
        <v>0</v>
      </c>
      <c r="Y6" s="3">
        <v>0</v>
      </c>
      <c r="Z6" s="3">
        <v>1984</v>
      </c>
      <c r="AA6" s="3">
        <v>43234</v>
      </c>
    </row>
    <row r="7" spans="1:27" ht="18" x14ac:dyDescent="0.35">
      <c r="A7" s="3">
        <v>6</v>
      </c>
      <c r="B7" s="3" t="s">
        <v>40</v>
      </c>
      <c r="C7" s="3" t="s">
        <v>41</v>
      </c>
      <c r="D7" s="3" t="s">
        <v>33</v>
      </c>
      <c r="E7" s="3"/>
      <c r="F7" s="3"/>
      <c r="G7" s="3">
        <v>26</v>
      </c>
      <c r="H7" s="3">
        <v>103832</v>
      </c>
      <c r="I7" s="3">
        <v>51916</v>
      </c>
      <c r="J7" s="3">
        <v>26572</v>
      </c>
      <c r="K7" s="3">
        <v>0</v>
      </c>
      <c r="L7" s="3">
        <v>500</v>
      </c>
      <c r="M7" s="3">
        <v>0</v>
      </c>
      <c r="N7" s="3">
        <v>182820</v>
      </c>
      <c r="O7" s="3">
        <v>1800</v>
      </c>
      <c r="P7" s="3">
        <v>0</v>
      </c>
      <c r="Q7" s="3">
        <v>0</v>
      </c>
      <c r="R7" s="3">
        <v>21718</v>
      </c>
      <c r="S7" s="3">
        <v>0</v>
      </c>
      <c r="T7" s="3">
        <v>23543</v>
      </c>
      <c r="U7" s="3">
        <v>159277</v>
      </c>
      <c r="V7" s="3">
        <v>157509</v>
      </c>
      <c r="W7" s="4">
        <f>U7-V7</f>
        <v>1768</v>
      </c>
      <c r="X7" s="3">
        <v>1800</v>
      </c>
      <c r="Y7" s="3">
        <v>0</v>
      </c>
      <c r="Z7" s="3">
        <v>4994</v>
      </c>
      <c r="AA7" s="3">
        <v>189614</v>
      </c>
    </row>
    <row r="8" spans="1:27" ht="18" x14ac:dyDescent="0.35">
      <c r="A8" s="3">
        <v>7</v>
      </c>
      <c r="B8" s="3" t="s">
        <v>42</v>
      </c>
      <c r="C8" s="3" t="s">
        <v>43</v>
      </c>
      <c r="D8" s="3" t="s">
        <v>33</v>
      </c>
      <c r="E8" s="3"/>
      <c r="F8" s="3"/>
      <c r="G8" s="3">
        <v>26</v>
      </c>
      <c r="H8" s="3">
        <v>30717</v>
      </c>
      <c r="I8" s="3">
        <v>10751</v>
      </c>
      <c r="J8" s="3">
        <v>12881</v>
      </c>
      <c r="K8" s="3">
        <v>0</v>
      </c>
      <c r="L8" s="3">
        <v>500</v>
      </c>
      <c r="M8" s="3">
        <v>0</v>
      </c>
      <c r="N8" s="3">
        <v>54849</v>
      </c>
      <c r="O8" s="3">
        <v>1800</v>
      </c>
      <c r="P8" s="3">
        <v>0</v>
      </c>
      <c r="Q8" s="3">
        <v>200</v>
      </c>
      <c r="R8" s="3">
        <v>0</v>
      </c>
      <c r="S8" s="3">
        <v>0</v>
      </c>
      <c r="T8" s="3">
        <v>2025</v>
      </c>
      <c r="U8" s="3">
        <v>52824</v>
      </c>
      <c r="V8" s="3">
        <v>52849</v>
      </c>
      <c r="W8" s="4">
        <f>U8-V8</f>
        <v>-25</v>
      </c>
      <c r="X8" s="3">
        <v>1800</v>
      </c>
      <c r="Y8" s="3">
        <v>0</v>
      </c>
      <c r="Z8" s="3">
        <v>1477</v>
      </c>
      <c r="AA8" s="3">
        <v>58126</v>
      </c>
    </row>
    <row r="9" spans="1:27" ht="18" x14ac:dyDescent="0.35">
      <c r="A9" s="3">
        <v>8</v>
      </c>
      <c r="B9" s="3" t="s">
        <v>44</v>
      </c>
      <c r="C9" s="3" t="s">
        <v>45</v>
      </c>
      <c r="D9" s="3" t="s">
        <v>27</v>
      </c>
      <c r="E9" s="3"/>
      <c r="F9" s="3"/>
      <c r="G9" s="3">
        <v>26</v>
      </c>
      <c r="H9" s="3">
        <v>127057</v>
      </c>
      <c r="I9" s="3">
        <v>63529</v>
      </c>
      <c r="J9" s="3">
        <v>43783</v>
      </c>
      <c r="K9" s="3">
        <v>0</v>
      </c>
      <c r="L9" s="3">
        <v>500</v>
      </c>
      <c r="M9" s="3">
        <v>0</v>
      </c>
      <c r="N9" s="3">
        <v>234869</v>
      </c>
      <c r="O9" s="3">
        <v>1800</v>
      </c>
      <c r="P9" s="3">
        <v>0</v>
      </c>
      <c r="Q9" s="3">
        <v>0</v>
      </c>
      <c r="R9" s="3">
        <v>38105</v>
      </c>
      <c r="S9" s="3">
        <v>0</v>
      </c>
      <c r="T9" s="3">
        <v>39930</v>
      </c>
      <c r="U9" s="3">
        <v>194939</v>
      </c>
      <c r="V9" s="3">
        <v>194880</v>
      </c>
      <c r="W9" s="4">
        <f>U9-V9</f>
        <v>59</v>
      </c>
      <c r="X9" s="3">
        <v>1800</v>
      </c>
      <c r="Y9" s="3">
        <v>0</v>
      </c>
      <c r="Z9" s="3">
        <v>6111</v>
      </c>
      <c r="AA9" s="3">
        <v>242780</v>
      </c>
    </row>
    <row r="10" spans="1:27" ht="18" x14ac:dyDescent="0.35">
      <c r="A10" s="3">
        <v>9</v>
      </c>
      <c r="B10" s="3" t="s">
        <v>46</v>
      </c>
      <c r="C10" s="3" t="s">
        <v>47</v>
      </c>
      <c r="D10" s="3" t="s">
        <v>33</v>
      </c>
      <c r="E10" s="3"/>
      <c r="F10" s="3"/>
      <c r="G10" s="3">
        <v>26</v>
      </c>
      <c r="H10" s="3">
        <v>29769</v>
      </c>
      <c r="I10" s="3">
        <v>10419</v>
      </c>
      <c r="J10" s="3">
        <v>12389</v>
      </c>
      <c r="K10" s="3">
        <v>0</v>
      </c>
      <c r="L10" s="3">
        <v>500</v>
      </c>
      <c r="M10" s="3">
        <v>0</v>
      </c>
      <c r="N10" s="3">
        <v>53077</v>
      </c>
      <c r="O10" s="3">
        <v>1800</v>
      </c>
      <c r="P10" s="3">
        <v>0</v>
      </c>
      <c r="Q10" s="3">
        <v>0</v>
      </c>
      <c r="R10" s="3">
        <v>0</v>
      </c>
      <c r="S10" s="3">
        <v>0</v>
      </c>
      <c r="T10" s="3">
        <v>1825</v>
      </c>
      <c r="U10" s="3">
        <v>51252</v>
      </c>
      <c r="V10" s="3">
        <v>51277</v>
      </c>
      <c r="W10" s="4">
        <f>U10-V10</f>
        <v>-25</v>
      </c>
      <c r="X10" s="3">
        <v>1800</v>
      </c>
      <c r="Y10" s="3">
        <v>0</v>
      </c>
      <c r="Z10" s="3">
        <v>1432</v>
      </c>
      <c r="AA10" s="3">
        <v>56309</v>
      </c>
    </row>
    <row r="11" spans="1:27" ht="18" x14ac:dyDescent="0.35">
      <c r="A11" s="3">
        <v>10</v>
      </c>
      <c r="B11" s="3" t="s">
        <v>48</v>
      </c>
      <c r="C11" s="3" t="s">
        <v>49</v>
      </c>
      <c r="D11" s="3" t="s">
        <v>33</v>
      </c>
      <c r="E11" s="3"/>
      <c r="F11" s="3"/>
      <c r="G11" s="3">
        <v>26</v>
      </c>
      <c r="H11" s="3">
        <v>29620</v>
      </c>
      <c r="I11" s="3">
        <v>10367</v>
      </c>
      <c r="J11" s="3">
        <v>12312</v>
      </c>
      <c r="K11" s="3">
        <v>0</v>
      </c>
      <c r="L11" s="3">
        <v>500</v>
      </c>
      <c r="M11" s="3">
        <v>0</v>
      </c>
      <c r="N11" s="3">
        <v>52799</v>
      </c>
      <c r="O11" s="3">
        <v>1800</v>
      </c>
      <c r="P11" s="3">
        <v>0</v>
      </c>
      <c r="Q11" s="3">
        <v>0</v>
      </c>
      <c r="R11" s="3">
        <v>0</v>
      </c>
      <c r="S11" s="3">
        <v>0</v>
      </c>
      <c r="T11" s="3">
        <v>1825</v>
      </c>
      <c r="U11" s="3">
        <v>50974</v>
      </c>
      <c r="V11" s="3">
        <v>50999</v>
      </c>
      <c r="W11" s="4">
        <f>U11-V11</f>
        <v>-25</v>
      </c>
      <c r="X11" s="3">
        <v>1800</v>
      </c>
      <c r="Y11" s="3">
        <v>0</v>
      </c>
      <c r="Z11" s="3">
        <v>1425</v>
      </c>
      <c r="AA11" s="3">
        <v>56024</v>
      </c>
    </row>
    <row r="12" spans="1:27" ht="18" x14ac:dyDescent="0.35">
      <c r="A12" s="3">
        <v>11</v>
      </c>
      <c r="B12" s="3" t="s">
        <v>50</v>
      </c>
      <c r="C12" s="3" t="s">
        <v>51</v>
      </c>
      <c r="D12" s="3" t="s">
        <v>33</v>
      </c>
      <c r="E12" s="3"/>
      <c r="F12" s="3"/>
      <c r="G12" s="3">
        <v>41</v>
      </c>
      <c r="H12" s="3">
        <v>25788</v>
      </c>
      <c r="I12" s="3">
        <v>9026</v>
      </c>
      <c r="J12" s="3">
        <v>10324</v>
      </c>
      <c r="K12" s="3">
        <v>0</v>
      </c>
      <c r="L12" s="3">
        <v>500</v>
      </c>
      <c r="M12" s="3">
        <v>0</v>
      </c>
      <c r="N12" s="3">
        <v>45638</v>
      </c>
      <c r="O12" s="3">
        <v>1320</v>
      </c>
      <c r="P12" s="3">
        <v>0</v>
      </c>
      <c r="Q12" s="3">
        <v>0</v>
      </c>
      <c r="R12" s="3">
        <v>0</v>
      </c>
      <c r="S12" s="3">
        <v>0</v>
      </c>
      <c r="T12" s="3">
        <v>1345</v>
      </c>
      <c r="U12" s="3">
        <v>44293</v>
      </c>
      <c r="V12" s="3">
        <v>31668</v>
      </c>
      <c r="W12" s="4">
        <f>U12-V12</f>
        <v>12625</v>
      </c>
      <c r="X12" s="3">
        <v>1320</v>
      </c>
      <c r="Y12" s="3">
        <v>0</v>
      </c>
      <c r="Z12" s="3">
        <v>1240</v>
      </c>
      <c r="AA12" s="3">
        <v>48198</v>
      </c>
    </row>
    <row r="13" spans="1:27" ht="18" x14ac:dyDescent="0.35">
      <c r="A13" s="3">
        <v>12</v>
      </c>
      <c r="B13" s="3" t="s">
        <v>52</v>
      </c>
      <c r="C13" s="3" t="s">
        <v>53</v>
      </c>
      <c r="D13" s="3" t="s">
        <v>33</v>
      </c>
      <c r="E13" s="3"/>
      <c r="F13" s="3"/>
      <c r="G13" s="3">
        <v>26</v>
      </c>
      <c r="H13" s="3">
        <v>21638</v>
      </c>
      <c r="I13" s="3">
        <v>7573</v>
      </c>
      <c r="J13" s="3">
        <v>8172</v>
      </c>
      <c r="K13" s="3">
        <v>0</v>
      </c>
      <c r="L13" s="3">
        <v>500</v>
      </c>
      <c r="M13" s="3">
        <v>0</v>
      </c>
      <c r="N13" s="3">
        <v>37883</v>
      </c>
      <c r="O13" s="3">
        <v>1800</v>
      </c>
      <c r="P13" s="3">
        <v>0</v>
      </c>
      <c r="Q13" s="3">
        <v>0</v>
      </c>
      <c r="R13" s="3">
        <v>0</v>
      </c>
      <c r="S13" s="3">
        <v>0</v>
      </c>
      <c r="T13" s="3">
        <v>1825</v>
      </c>
      <c r="U13" s="3">
        <v>36058</v>
      </c>
      <c r="V13" s="3">
        <v>36083</v>
      </c>
      <c r="W13" s="4">
        <f>U13-V13</f>
        <v>-25</v>
      </c>
      <c r="X13" s="3">
        <v>1800</v>
      </c>
      <c r="Y13" s="3">
        <v>0</v>
      </c>
      <c r="Z13" s="3">
        <v>1041</v>
      </c>
      <c r="AA13" s="3">
        <v>40724</v>
      </c>
    </row>
    <row r="14" spans="1:27" ht="18" x14ac:dyDescent="0.35">
      <c r="A14" s="3">
        <v>13</v>
      </c>
      <c r="B14" s="3" t="s">
        <v>54</v>
      </c>
      <c r="C14" s="3" t="s">
        <v>55</v>
      </c>
      <c r="D14" s="3" t="s">
        <v>30</v>
      </c>
      <c r="E14" s="3"/>
      <c r="F14" s="3"/>
      <c r="G14" s="3">
        <v>26</v>
      </c>
      <c r="H14" s="3">
        <v>52623</v>
      </c>
      <c r="I14" s="3">
        <v>26312</v>
      </c>
      <c r="J14" s="3">
        <v>11963</v>
      </c>
      <c r="K14" s="3">
        <v>0</v>
      </c>
      <c r="L14" s="3">
        <v>500</v>
      </c>
      <c r="M14" s="3">
        <v>0</v>
      </c>
      <c r="N14" s="3">
        <v>91398</v>
      </c>
      <c r="O14" s="3">
        <v>1800</v>
      </c>
      <c r="P14" s="3">
        <v>0</v>
      </c>
      <c r="Q14" s="3">
        <v>200</v>
      </c>
      <c r="R14" s="3">
        <v>3988</v>
      </c>
      <c r="S14" s="3">
        <v>0</v>
      </c>
      <c r="T14" s="3">
        <v>6013</v>
      </c>
      <c r="U14" s="3">
        <v>85385</v>
      </c>
      <c r="V14" s="3">
        <v>89398</v>
      </c>
      <c r="W14" s="4">
        <f>U14-V14</f>
        <v>-4013</v>
      </c>
      <c r="X14" s="3">
        <v>1800</v>
      </c>
      <c r="Y14" s="3">
        <v>0</v>
      </c>
      <c r="Z14" s="3">
        <v>2531</v>
      </c>
      <c r="AA14" s="3">
        <v>95729</v>
      </c>
    </row>
    <row r="15" spans="1:27" ht="18" x14ac:dyDescent="0.35">
      <c r="A15" s="3">
        <v>14</v>
      </c>
      <c r="B15" s="3" t="s">
        <v>56</v>
      </c>
      <c r="C15" s="3" t="s">
        <v>57</v>
      </c>
      <c r="D15" s="3" t="s">
        <v>33</v>
      </c>
      <c r="E15" s="3"/>
      <c r="F15" s="3"/>
      <c r="G15" s="3">
        <v>26</v>
      </c>
      <c r="H15" s="3">
        <v>25593</v>
      </c>
      <c r="I15" s="3">
        <v>8957</v>
      </c>
      <c r="J15" s="3">
        <v>10223</v>
      </c>
      <c r="K15" s="3">
        <v>0</v>
      </c>
      <c r="L15" s="3">
        <v>500</v>
      </c>
      <c r="M15" s="3">
        <v>0</v>
      </c>
      <c r="N15" s="3">
        <v>45273</v>
      </c>
      <c r="O15" s="3">
        <v>1800</v>
      </c>
      <c r="P15" s="3">
        <v>0</v>
      </c>
      <c r="Q15" s="3">
        <v>0</v>
      </c>
      <c r="R15" s="3">
        <v>0</v>
      </c>
      <c r="S15" s="3">
        <v>0</v>
      </c>
      <c r="T15" s="3">
        <v>1825</v>
      </c>
      <c r="U15" s="3">
        <v>43448</v>
      </c>
      <c r="V15" s="3">
        <v>43473</v>
      </c>
      <c r="W15" s="4">
        <f>U15-V15</f>
        <v>-25</v>
      </c>
      <c r="X15" s="3">
        <v>1800</v>
      </c>
      <c r="Y15" s="3">
        <v>0</v>
      </c>
      <c r="Z15" s="3">
        <v>1231</v>
      </c>
      <c r="AA15" s="3">
        <v>48304</v>
      </c>
    </row>
    <row r="16" spans="1:27" ht="18" x14ac:dyDescent="0.35">
      <c r="A16" s="3">
        <v>15</v>
      </c>
      <c r="B16" s="3" t="s">
        <v>58</v>
      </c>
      <c r="C16" s="3" t="s">
        <v>59</v>
      </c>
      <c r="D16" s="3" t="s">
        <v>27</v>
      </c>
      <c r="E16" s="3"/>
      <c r="F16" s="3"/>
      <c r="G16" s="3">
        <v>26</v>
      </c>
      <c r="H16" s="3">
        <v>36016</v>
      </c>
      <c r="I16" s="3">
        <v>12605</v>
      </c>
      <c r="J16" s="3">
        <v>15629</v>
      </c>
      <c r="K16" s="3">
        <v>0</v>
      </c>
      <c r="L16" s="3">
        <v>500</v>
      </c>
      <c r="M16" s="3">
        <v>0</v>
      </c>
      <c r="N16" s="3">
        <v>64750</v>
      </c>
      <c r="O16" s="3">
        <v>1800</v>
      </c>
      <c r="P16" s="3">
        <v>0</v>
      </c>
      <c r="Q16" s="3">
        <v>200</v>
      </c>
      <c r="R16" s="3">
        <v>1428</v>
      </c>
      <c r="S16" s="3">
        <v>0</v>
      </c>
      <c r="T16" s="3">
        <v>3453</v>
      </c>
      <c r="U16" s="3">
        <v>61297</v>
      </c>
      <c r="V16" s="3">
        <v>62750</v>
      </c>
      <c r="W16" s="4">
        <f>U16-V16</f>
        <v>-1453</v>
      </c>
      <c r="X16" s="3">
        <v>1800</v>
      </c>
      <c r="Y16" s="3">
        <v>0</v>
      </c>
      <c r="Z16" s="3">
        <v>1732</v>
      </c>
      <c r="AA16" s="3">
        <v>68282</v>
      </c>
    </row>
    <row r="17" spans="1:27" ht="18" x14ac:dyDescent="0.35">
      <c r="A17" s="3">
        <v>16</v>
      </c>
      <c r="B17" s="3" t="s">
        <v>60</v>
      </c>
      <c r="C17" s="3" t="s">
        <v>61</v>
      </c>
      <c r="D17" s="3" t="s">
        <v>27</v>
      </c>
      <c r="E17" s="3"/>
      <c r="F17" s="3"/>
      <c r="G17" s="3">
        <v>26</v>
      </c>
      <c r="H17" s="3">
        <v>97622</v>
      </c>
      <c r="I17" s="3">
        <v>48811</v>
      </c>
      <c r="J17" s="3">
        <v>24801</v>
      </c>
      <c r="K17" s="3">
        <v>0</v>
      </c>
      <c r="L17" s="3">
        <v>500</v>
      </c>
      <c r="M17" s="3">
        <v>0</v>
      </c>
      <c r="N17" s="3">
        <v>171734</v>
      </c>
      <c r="O17" s="3">
        <v>1800</v>
      </c>
      <c r="P17" s="3">
        <v>0</v>
      </c>
      <c r="Q17" s="3">
        <v>200</v>
      </c>
      <c r="R17" s="3">
        <v>18641</v>
      </c>
      <c r="S17" s="3">
        <v>0</v>
      </c>
      <c r="T17" s="3">
        <v>20666</v>
      </c>
      <c r="U17" s="3">
        <v>151068</v>
      </c>
      <c r="V17" s="3">
        <v>149379</v>
      </c>
      <c r="W17" s="4">
        <f>U17-V17</f>
        <v>1689</v>
      </c>
      <c r="X17" s="3">
        <v>1800</v>
      </c>
      <c r="Y17" s="3">
        <v>0</v>
      </c>
      <c r="Z17" s="3">
        <v>4696</v>
      </c>
      <c r="AA17" s="3">
        <v>178230</v>
      </c>
    </row>
    <row r="18" spans="1:27" ht="18" x14ac:dyDescent="0.35">
      <c r="A18" s="3">
        <v>17</v>
      </c>
      <c r="B18" s="3" t="s">
        <v>62</v>
      </c>
      <c r="C18" s="3" t="s">
        <v>63</v>
      </c>
      <c r="D18" s="3" t="s">
        <v>36</v>
      </c>
      <c r="E18" s="3"/>
      <c r="F18" s="3"/>
      <c r="G18" s="3">
        <v>26</v>
      </c>
      <c r="H18" s="3">
        <v>114032</v>
      </c>
      <c r="I18" s="3">
        <v>57016</v>
      </c>
      <c r="J18" s="3">
        <v>29482</v>
      </c>
      <c r="K18" s="3">
        <v>0</v>
      </c>
      <c r="L18" s="3">
        <v>500</v>
      </c>
      <c r="M18" s="3">
        <v>0</v>
      </c>
      <c r="N18" s="3">
        <v>201030</v>
      </c>
      <c r="O18" s="3">
        <v>1800</v>
      </c>
      <c r="P18" s="3">
        <v>0</v>
      </c>
      <c r="Q18" s="3">
        <v>200</v>
      </c>
      <c r="R18" s="3">
        <v>26883</v>
      </c>
      <c r="S18" s="3">
        <v>0</v>
      </c>
      <c r="T18" s="3">
        <v>28908</v>
      </c>
      <c r="U18" s="3">
        <v>172122</v>
      </c>
      <c r="V18" s="3">
        <v>170277</v>
      </c>
      <c r="W18" s="4">
        <f>U18-V18</f>
        <v>1845</v>
      </c>
      <c r="X18" s="3">
        <v>1800</v>
      </c>
      <c r="Y18" s="3">
        <v>0</v>
      </c>
      <c r="Z18" s="3">
        <v>5485</v>
      </c>
      <c r="AA18" s="3">
        <v>208315</v>
      </c>
    </row>
    <row r="19" spans="1:27" ht="18" x14ac:dyDescent="0.35">
      <c r="A19" s="3">
        <v>18</v>
      </c>
      <c r="B19" s="3" t="s">
        <v>64</v>
      </c>
      <c r="C19" s="3" t="s">
        <v>65</v>
      </c>
      <c r="D19" s="3" t="s">
        <v>33</v>
      </c>
      <c r="E19" s="3"/>
      <c r="F19" s="3"/>
      <c r="G19" s="3">
        <v>26</v>
      </c>
      <c r="H19" s="3">
        <v>12574</v>
      </c>
      <c r="I19" s="3">
        <v>4401</v>
      </c>
      <c r="J19" s="3">
        <v>4721</v>
      </c>
      <c r="K19" s="3">
        <v>0</v>
      </c>
      <c r="L19" s="3">
        <v>0</v>
      </c>
      <c r="M19" s="3">
        <v>0</v>
      </c>
      <c r="N19" s="3">
        <v>21696</v>
      </c>
      <c r="O19" s="3">
        <v>1800</v>
      </c>
      <c r="P19" s="3">
        <v>0</v>
      </c>
      <c r="Q19" s="3">
        <v>0</v>
      </c>
      <c r="R19" s="3">
        <v>0</v>
      </c>
      <c r="S19" s="3">
        <v>0</v>
      </c>
      <c r="T19" s="3">
        <v>1825</v>
      </c>
      <c r="U19" s="3">
        <v>19871</v>
      </c>
      <c r="V19" s="3">
        <v>19896</v>
      </c>
      <c r="W19" s="4">
        <f>U19-V19</f>
        <v>-25</v>
      </c>
      <c r="X19" s="3">
        <v>1800</v>
      </c>
      <c r="Y19" s="3">
        <v>0</v>
      </c>
      <c r="Z19" s="3">
        <v>605</v>
      </c>
      <c r="AA19" s="3">
        <v>24101</v>
      </c>
    </row>
    <row r="20" spans="1:27" ht="18" x14ac:dyDescent="0.35">
      <c r="A20" s="3">
        <v>19</v>
      </c>
      <c r="B20" s="3" t="s">
        <v>66</v>
      </c>
      <c r="C20" s="3" t="s">
        <v>67</v>
      </c>
      <c r="D20" s="3" t="s">
        <v>33</v>
      </c>
      <c r="E20" s="3"/>
      <c r="F20" s="3"/>
      <c r="G20" s="3">
        <v>26</v>
      </c>
      <c r="H20" s="3">
        <v>12574</v>
      </c>
      <c r="I20" s="3">
        <v>4401</v>
      </c>
      <c r="J20" s="3">
        <v>4721</v>
      </c>
      <c r="K20" s="3">
        <v>0</v>
      </c>
      <c r="L20" s="3">
        <v>0</v>
      </c>
      <c r="M20" s="3">
        <v>0</v>
      </c>
      <c r="N20" s="3">
        <v>21696</v>
      </c>
      <c r="O20" s="3">
        <v>1800</v>
      </c>
      <c r="P20" s="3">
        <v>0</v>
      </c>
      <c r="Q20" s="3">
        <v>0</v>
      </c>
      <c r="R20" s="3">
        <v>0</v>
      </c>
      <c r="S20" s="3">
        <v>0</v>
      </c>
      <c r="T20" s="3">
        <v>1825</v>
      </c>
      <c r="U20" s="3">
        <v>19871</v>
      </c>
      <c r="V20" s="3">
        <v>19896</v>
      </c>
      <c r="W20" s="4">
        <f>U20-V20</f>
        <v>-25</v>
      </c>
      <c r="X20" s="3">
        <v>1800</v>
      </c>
      <c r="Y20" s="3">
        <v>0</v>
      </c>
      <c r="Z20" s="3">
        <v>605</v>
      </c>
      <c r="AA20" s="3">
        <v>24101</v>
      </c>
    </row>
    <row r="21" spans="1:27" ht="18" x14ac:dyDescent="0.35">
      <c r="A21" s="3">
        <v>20</v>
      </c>
      <c r="B21" s="3" t="s">
        <v>68</v>
      </c>
      <c r="C21" s="3" t="s">
        <v>69</v>
      </c>
      <c r="D21" s="3" t="s">
        <v>33</v>
      </c>
      <c r="E21" s="3"/>
      <c r="F21" s="3"/>
      <c r="G21" s="3">
        <v>26</v>
      </c>
      <c r="H21" s="3">
        <v>18904</v>
      </c>
      <c r="I21" s="3">
        <v>6616</v>
      </c>
      <c r="J21" s="3">
        <v>6754</v>
      </c>
      <c r="K21" s="3">
        <v>0</v>
      </c>
      <c r="L21" s="3">
        <v>500</v>
      </c>
      <c r="M21" s="3">
        <v>0</v>
      </c>
      <c r="N21" s="3">
        <v>32774</v>
      </c>
      <c r="O21" s="3">
        <v>1800</v>
      </c>
      <c r="P21" s="3">
        <v>0</v>
      </c>
      <c r="Q21" s="3">
        <v>0</v>
      </c>
      <c r="R21" s="3">
        <v>0</v>
      </c>
      <c r="S21" s="3">
        <v>0</v>
      </c>
      <c r="T21" s="3">
        <v>1825</v>
      </c>
      <c r="U21" s="3">
        <v>30949</v>
      </c>
      <c r="V21" s="3">
        <v>30974</v>
      </c>
      <c r="W21" s="4">
        <f>U21-V21</f>
        <v>-25</v>
      </c>
      <c r="X21" s="3">
        <v>1800</v>
      </c>
      <c r="Y21" s="3">
        <v>0</v>
      </c>
      <c r="Z21" s="3">
        <v>909</v>
      </c>
      <c r="AA21" s="3">
        <v>35483</v>
      </c>
    </row>
    <row r="22" spans="1:27" ht="18" x14ac:dyDescent="0.35">
      <c r="A22" s="3">
        <v>21</v>
      </c>
      <c r="B22" s="3" t="s">
        <v>70</v>
      </c>
      <c r="C22" s="3" t="s">
        <v>71</v>
      </c>
      <c r="D22" s="3" t="s">
        <v>33</v>
      </c>
      <c r="E22" s="3"/>
      <c r="F22" s="3"/>
      <c r="G22" s="3">
        <v>26</v>
      </c>
      <c r="H22" s="3">
        <v>20513</v>
      </c>
      <c r="I22" s="3">
        <v>7180</v>
      </c>
      <c r="J22" s="3">
        <v>7589</v>
      </c>
      <c r="K22" s="3">
        <v>0</v>
      </c>
      <c r="L22" s="3">
        <v>500</v>
      </c>
      <c r="M22" s="3">
        <v>0</v>
      </c>
      <c r="N22" s="3">
        <v>35782</v>
      </c>
      <c r="O22" s="3">
        <v>1800</v>
      </c>
      <c r="P22" s="3">
        <v>0</v>
      </c>
      <c r="Q22" s="3">
        <v>0</v>
      </c>
      <c r="R22" s="3">
        <v>0</v>
      </c>
      <c r="S22" s="3">
        <v>0</v>
      </c>
      <c r="T22" s="3">
        <v>1825</v>
      </c>
      <c r="U22" s="3">
        <v>33957</v>
      </c>
      <c r="V22" s="3">
        <v>33982</v>
      </c>
      <c r="W22" s="4">
        <f>U22-V22</f>
        <v>-25</v>
      </c>
      <c r="X22" s="3">
        <v>1800</v>
      </c>
      <c r="Y22" s="3">
        <v>0</v>
      </c>
      <c r="Z22" s="3">
        <v>987</v>
      </c>
      <c r="AA22" s="3">
        <v>38569</v>
      </c>
    </row>
    <row r="23" spans="1:27" ht="18" x14ac:dyDescent="0.35">
      <c r="A23" s="3">
        <v>22</v>
      </c>
      <c r="B23" s="3" t="s">
        <v>72</v>
      </c>
      <c r="C23" s="3" t="s">
        <v>73</v>
      </c>
      <c r="D23" s="3" t="s">
        <v>36</v>
      </c>
      <c r="E23" s="3"/>
      <c r="F23" s="3"/>
      <c r="G23" s="3">
        <v>25</v>
      </c>
      <c r="H23" s="3">
        <v>65721</v>
      </c>
      <c r="I23" s="3">
        <v>23003</v>
      </c>
      <c r="J23" s="3">
        <v>31136</v>
      </c>
      <c r="K23" s="3">
        <v>0</v>
      </c>
      <c r="L23" s="3">
        <v>483</v>
      </c>
      <c r="M23" s="3">
        <v>0</v>
      </c>
      <c r="N23" s="3">
        <v>120343</v>
      </c>
      <c r="O23" s="3">
        <v>1740</v>
      </c>
      <c r="P23" s="3">
        <v>0</v>
      </c>
      <c r="Q23" s="3">
        <v>208</v>
      </c>
      <c r="R23" s="3">
        <v>8777</v>
      </c>
      <c r="S23" s="3">
        <v>0</v>
      </c>
      <c r="T23" s="3">
        <v>10750</v>
      </c>
      <c r="U23" s="3">
        <v>109593</v>
      </c>
      <c r="V23" s="3">
        <v>109831</v>
      </c>
      <c r="W23" s="4">
        <f>U23-V23</f>
        <v>-238</v>
      </c>
      <c r="X23" s="3">
        <v>1740</v>
      </c>
      <c r="Y23" s="3">
        <v>0</v>
      </c>
      <c r="Z23" s="3">
        <v>3270</v>
      </c>
      <c r="AA23" s="3">
        <v>125353</v>
      </c>
    </row>
    <row r="24" spans="1:27" ht="18" x14ac:dyDescent="0.35">
      <c r="A24" s="3">
        <v>23</v>
      </c>
      <c r="B24" s="3" t="s">
        <v>74</v>
      </c>
      <c r="C24" s="3" t="s">
        <v>75</v>
      </c>
      <c r="D24" s="3" t="s">
        <v>33</v>
      </c>
      <c r="E24" s="3"/>
      <c r="F24" s="3"/>
      <c r="G24" s="3">
        <v>26</v>
      </c>
      <c r="H24" s="3">
        <v>19086</v>
      </c>
      <c r="I24" s="3">
        <v>6680</v>
      </c>
      <c r="J24" s="3">
        <v>7349</v>
      </c>
      <c r="K24" s="3">
        <v>0</v>
      </c>
      <c r="L24" s="3">
        <v>0</v>
      </c>
      <c r="M24" s="3">
        <v>0</v>
      </c>
      <c r="N24" s="3">
        <v>33115</v>
      </c>
      <c r="O24" s="3">
        <v>1800</v>
      </c>
      <c r="P24" s="3">
        <v>0</v>
      </c>
      <c r="Q24" s="3">
        <v>200</v>
      </c>
      <c r="R24" s="3">
        <v>0</v>
      </c>
      <c r="S24" s="3">
        <v>0</v>
      </c>
      <c r="T24" s="3">
        <v>2025</v>
      </c>
      <c r="U24" s="3">
        <v>31090</v>
      </c>
      <c r="V24" s="3">
        <v>31115</v>
      </c>
      <c r="W24" s="4">
        <f>U24-V24</f>
        <v>-25</v>
      </c>
      <c r="X24" s="3">
        <v>1800</v>
      </c>
      <c r="Y24" s="3">
        <v>0</v>
      </c>
      <c r="Z24" s="3">
        <v>918</v>
      </c>
      <c r="AA24" s="3">
        <v>35833</v>
      </c>
    </row>
    <row r="25" spans="1:27" ht="18" x14ac:dyDescent="0.35">
      <c r="A25" s="3">
        <v>24</v>
      </c>
      <c r="B25" s="3" t="s">
        <v>76</v>
      </c>
      <c r="C25" s="3" t="s">
        <v>77</v>
      </c>
      <c r="D25" s="3" t="s">
        <v>36</v>
      </c>
      <c r="E25" s="3"/>
      <c r="F25" s="3"/>
      <c r="G25" s="3">
        <v>26</v>
      </c>
      <c r="H25" s="3">
        <v>21980</v>
      </c>
      <c r="I25" s="3">
        <v>7693</v>
      </c>
      <c r="J25" s="3">
        <v>8349</v>
      </c>
      <c r="K25" s="3">
        <v>0</v>
      </c>
      <c r="L25" s="3">
        <v>500</v>
      </c>
      <c r="M25" s="3">
        <v>0</v>
      </c>
      <c r="N25" s="3">
        <v>38522</v>
      </c>
      <c r="O25" s="3">
        <v>1800</v>
      </c>
      <c r="P25" s="3">
        <v>0</v>
      </c>
      <c r="Q25" s="3">
        <v>200</v>
      </c>
      <c r="R25" s="3">
        <v>0</v>
      </c>
      <c r="S25" s="3">
        <v>0</v>
      </c>
      <c r="T25" s="3">
        <v>2025</v>
      </c>
      <c r="U25" s="3">
        <v>36497</v>
      </c>
      <c r="V25" s="3">
        <v>36522</v>
      </c>
      <c r="W25" s="4">
        <f>U25-V25</f>
        <v>-25</v>
      </c>
      <c r="X25" s="3">
        <v>1800</v>
      </c>
      <c r="Y25" s="3">
        <v>0</v>
      </c>
      <c r="Z25" s="3">
        <v>1057</v>
      </c>
      <c r="AA25" s="3">
        <v>41379</v>
      </c>
    </row>
    <row r="26" spans="1:27" ht="18" x14ac:dyDescent="0.35">
      <c r="A26" s="3">
        <v>25</v>
      </c>
      <c r="B26" s="3" t="s">
        <v>78</v>
      </c>
      <c r="C26" s="3" t="s">
        <v>79</v>
      </c>
      <c r="D26" s="3" t="s">
        <v>33</v>
      </c>
      <c r="E26" s="3"/>
      <c r="F26" s="3"/>
      <c r="G26" s="3">
        <v>26</v>
      </c>
      <c r="H26" s="3">
        <v>21004</v>
      </c>
      <c r="I26" s="3">
        <v>7351</v>
      </c>
      <c r="J26" s="3">
        <v>7843</v>
      </c>
      <c r="K26" s="3">
        <v>0</v>
      </c>
      <c r="L26" s="3">
        <v>500</v>
      </c>
      <c r="M26" s="3">
        <v>0</v>
      </c>
      <c r="N26" s="3">
        <v>36698</v>
      </c>
      <c r="O26" s="3">
        <v>1800</v>
      </c>
      <c r="P26" s="3">
        <v>0</v>
      </c>
      <c r="Q26" s="3">
        <v>0</v>
      </c>
      <c r="R26" s="3">
        <v>0</v>
      </c>
      <c r="S26" s="3">
        <v>0</v>
      </c>
      <c r="T26" s="3">
        <v>1825</v>
      </c>
      <c r="U26" s="3">
        <v>34873</v>
      </c>
      <c r="V26" s="3">
        <v>34898</v>
      </c>
      <c r="W26" s="4">
        <f>U26-V26</f>
        <v>-25</v>
      </c>
      <c r="X26" s="3">
        <v>1800</v>
      </c>
      <c r="Y26" s="3">
        <v>0</v>
      </c>
      <c r="Z26" s="3">
        <v>1010</v>
      </c>
      <c r="AA26" s="3">
        <v>39508</v>
      </c>
    </row>
    <row r="27" spans="1:27" ht="18" x14ac:dyDescent="0.35">
      <c r="A27" s="3">
        <v>26</v>
      </c>
      <c r="B27" s="3" t="s">
        <v>80</v>
      </c>
      <c r="C27" s="3" t="s">
        <v>81</v>
      </c>
      <c r="D27" s="3" t="s">
        <v>33</v>
      </c>
      <c r="E27" s="3"/>
      <c r="F27" s="3"/>
      <c r="G27" s="3">
        <v>26</v>
      </c>
      <c r="H27" s="3">
        <v>21004</v>
      </c>
      <c r="I27" s="3">
        <v>7351</v>
      </c>
      <c r="J27" s="3">
        <v>7843</v>
      </c>
      <c r="K27" s="3">
        <v>0</v>
      </c>
      <c r="L27" s="3">
        <v>500</v>
      </c>
      <c r="M27" s="3">
        <v>0</v>
      </c>
      <c r="N27" s="3">
        <v>36698</v>
      </c>
      <c r="O27" s="3">
        <v>1800</v>
      </c>
      <c r="P27" s="3">
        <v>0</v>
      </c>
      <c r="Q27" s="3">
        <v>0</v>
      </c>
      <c r="R27" s="3">
        <v>0</v>
      </c>
      <c r="S27" s="3">
        <v>0</v>
      </c>
      <c r="T27" s="3">
        <v>1825</v>
      </c>
      <c r="U27" s="3">
        <v>34873</v>
      </c>
      <c r="V27" s="3">
        <v>34898</v>
      </c>
      <c r="W27" s="4">
        <f>U27-V27</f>
        <v>-25</v>
      </c>
      <c r="X27" s="3">
        <v>1800</v>
      </c>
      <c r="Y27" s="3">
        <v>0</v>
      </c>
      <c r="Z27" s="3">
        <v>1010</v>
      </c>
      <c r="AA27" s="3">
        <v>39508</v>
      </c>
    </row>
    <row r="28" spans="1:27" ht="18" x14ac:dyDescent="0.35">
      <c r="A28" s="3">
        <v>27</v>
      </c>
      <c r="B28" s="3" t="s">
        <v>82</v>
      </c>
      <c r="C28" s="3" t="s">
        <v>83</v>
      </c>
      <c r="D28" s="3" t="s">
        <v>33</v>
      </c>
      <c r="E28" s="3"/>
      <c r="F28" s="3"/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4">
        <f>U28-V28</f>
        <v>0</v>
      </c>
      <c r="X28" s="3">
        <v>0</v>
      </c>
      <c r="Y28" s="3">
        <v>0</v>
      </c>
      <c r="Z28" s="3">
        <v>962</v>
      </c>
      <c r="AA28" s="3">
        <v>962</v>
      </c>
    </row>
    <row r="29" spans="1:27" ht="18" x14ac:dyDescent="0.35">
      <c r="A29" s="3">
        <v>28</v>
      </c>
      <c r="B29" s="3" t="s">
        <v>84</v>
      </c>
      <c r="C29" s="3" t="s">
        <v>85</v>
      </c>
      <c r="D29" s="3" t="s">
        <v>33</v>
      </c>
      <c r="E29" s="3"/>
      <c r="F29" s="3"/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4">
        <f>U29-V29</f>
        <v>0</v>
      </c>
      <c r="X29" s="3">
        <v>0</v>
      </c>
      <c r="Y29" s="3">
        <v>0</v>
      </c>
      <c r="Z29" s="3">
        <v>734</v>
      </c>
      <c r="AA29" s="3">
        <v>734</v>
      </c>
    </row>
    <row r="30" spans="1:27" ht="18" x14ac:dyDescent="0.35">
      <c r="A30" s="3">
        <v>29</v>
      </c>
      <c r="B30" s="3" t="s">
        <v>86</v>
      </c>
      <c r="C30" s="3" t="s">
        <v>87</v>
      </c>
      <c r="D30" s="3" t="s">
        <v>33</v>
      </c>
      <c r="E30" s="3"/>
      <c r="F30" s="3"/>
      <c r="G30" s="3">
        <v>26</v>
      </c>
      <c r="H30" s="3">
        <v>12492</v>
      </c>
      <c r="I30" s="3">
        <v>4372</v>
      </c>
      <c r="J30" s="3">
        <v>4679</v>
      </c>
      <c r="K30" s="3">
        <v>0</v>
      </c>
      <c r="L30" s="3">
        <v>0</v>
      </c>
      <c r="M30" s="3">
        <v>0</v>
      </c>
      <c r="N30" s="3">
        <v>21543</v>
      </c>
      <c r="O30" s="3">
        <v>1800</v>
      </c>
      <c r="P30" s="3">
        <v>0</v>
      </c>
      <c r="Q30" s="3">
        <v>0</v>
      </c>
      <c r="R30" s="3">
        <v>0</v>
      </c>
      <c r="S30" s="3">
        <v>0</v>
      </c>
      <c r="T30" s="3">
        <v>1825</v>
      </c>
      <c r="U30" s="3">
        <v>19718</v>
      </c>
      <c r="V30" s="3">
        <v>19743</v>
      </c>
      <c r="W30" s="4">
        <f>U30-V30</f>
        <v>-25</v>
      </c>
      <c r="X30" s="3">
        <v>1800</v>
      </c>
      <c r="Y30" s="3">
        <v>0</v>
      </c>
      <c r="Z30" s="3">
        <v>601</v>
      </c>
      <c r="AA30" s="3">
        <v>23944</v>
      </c>
    </row>
    <row r="31" spans="1:27" ht="18" x14ac:dyDescent="0.35">
      <c r="A31" s="3">
        <v>30</v>
      </c>
      <c r="B31" s="3" t="s">
        <v>88</v>
      </c>
      <c r="C31" s="3" t="s">
        <v>89</v>
      </c>
      <c r="D31" s="3" t="s">
        <v>33</v>
      </c>
      <c r="E31" s="3"/>
      <c r="F31" s="3"/>
      <c r="G31" s="3">
        <v>26</v>
      </c>
      <c r="H31" s="3">
        <v>15255</v>
      </c>
      <c r="I31" s="3">
        <v>5339</v>
      </c>
      <c r="J31" s="3">
        <v>4862</v>
      </c>
      <c r="K31" s="3">
        <v>0</v>
      </c>
      <c r="L31" s="3">
        <v>500</v>
      </c>
      <c r="M31" s="3">
        <v>0</v>
      </c>
      <c r="N31" s="3">
        <v>25956</v>
      </c>
      <c r="O31" s="3">
        <v>1800</v>
      </c>
      <c r="P31" s="3">
        <v>0</v>
      </c>
      <c r="Q31" s="3">
        <v>0</v>
      </c>
      <c r="R31" s="3">
        <v>0</v>
      </c>
      <c r="S31" s="3">
        <v>0</v>
      </c>
      <c r="T31" s="3">
        <v>1825</v>
      </c>
      <c r="U31" s="3">
        <v>24131</v>
      </c>
      <c r="V31" s="3">
        <v>24156</v>
      </c>
      <c r="W31" s="4">
        <f>U31-V31</f>
        <v>-25</v>
      </c>
      <c r="X31" s="3">
        <v>1800</v>
      </c>
      <c r="Y31" s="3">
        <v>0</v>
      </c>
      <c r="Z31" s="3">
        <v>734</v>
      </c>
      <c r="AA31" s="3">
        <v>28490</v>
      </c>
    </row>
    <row r="32" spans="1:27" ht="18" x14ac:dyDescent="0.35">
      <c r="A32" s="3">
        <v>31</v>
      </c>
      <c r="B32" s="3" t="s">
        <v>90</v>
      </c>
      <c r="C32" s="3" t="s">
        <v>91</v>
      </c>
      <c r="D32" s="3" t="s">
        <v>33</v>
      </c>
      <c r="E32" s="3"/>
      <c r="F32" s="3"/>
      <c r="G32" s="3">
        <v>26</v>
      </c>
      <c r="H32" s="3">
        <v>23561</v>
      </c>
      <c r="I32" s="3">
        <v>8246</v>
      </c>
      <c r="J32" s="3">
        <v>9169</v>
      </c>
      <c r="K32" s="3">
        <v>0</v>
      </c>
      <c r="L32" s="3">
        <v>500</v>
      </c>
      <c r="M32" s="3">
        <v>0</v>
      </c>
      <c r="N32" s="3">
        <v>41476</v>
      </c>
      <c r="O32" s="3">
        <v>1800</v>
      </c>
      <c r="P32" s="3">
        <v>0</v>
      </c>
      <c r="Q32" s="3">
        <v>0</v>
      </c>
      <c r="R32" s="3">
        <v>0</v>
      </c>
      <c r="S32" s="3">
        <v>0</v>
      </c>
      <c r="T32" s="3">
        <v>1825</v>
      </c>
      <c r="U32" s="3">
        <v>39651</v>
      </c>
      <c r="V32" s="3">
        <v>39676</v>
      </c>
      <c r="W32" s="4">
        <f>U32-V32</f>
        <v>-25</v>
      </c>
      <c r="X32" s="3">
        <v>1800</v>
      </c>
      <c r="Y32" s="3">
        <v>0</v>
      </c>
      <c r="Z32" s="3">
        <v>1133</v>
      </c>
      <c r="AA32" s="3">
        <v>44409</v>
      </c>
    </row>
    <row r="33" spans="1:27" ht="18" x14ac:dyDescent="0.35">
      <c r="A33" s="3">
        <v>32</v>
      </c>
      <c r="B33" s="3" t="s">
        <v>92</v>
      </c>
      <c r="C33" s="3" t="s">
        <v>93</v>
      </c>
      <c r="D33" s="3" t="s">
        <v>27</v>
      </c>
      <c r="E33" s="3"/>
      <c r="F33" s="3"/>
      <c r="G33" s="3">
        <v>26</v>
      </c>
      <c r="H33" s="3">
        <v>13733</v>
      </c>
      <c r="I33" s="3">
        <v>4807</v>
      </c>
      <c r="J33" s="3">
        <v>5322</v>
      </c>
      <c r="K33" s="3">
        <v>0</v>
      </c>
      <c r="L33" s="3">
        <v>0</v>
      </c>
      <c r="M33" s="3">
        <v>0</v>
      </c>
      <c r="N33" s="3">
        <v>23862</v>
      </c>
      <c r="O33" s="3">
        <v>1800</v>
      </c>
      <c r="P33" s="3">
        <v>0</v>
      </c>
      <c r="Q33" s="3">
        <v>208</v>
      </c>
      <c r="R33" s="3">
        <v>0</v>
      </c>
      <c r="S33" s="3">
        <v>0</v>
      </c>
      <c r="T33" s="3">
        <v>2033</v>
      </c>
      <c r="U33" s="3">
        <v>21829</v>
      </c>
      <c r="V33" s="3">
        <v>22062</v>
      </c>
      <c r="W33" s="4">
        <f>U33-V33</f>
        <v>-233</v>
      </c>
      <c r="X33" s="3">
        <v>1800</v>
      </c>
      <c r="Y33" s="3">
        <v>0</v>
      </c>
      <c r="Z33" s="3">
        <v>661</v>
      </c>
      <c r="AA33" s="3">
        <v>26323</v>
      </c>
    </row>
    <row r="34" spans="1:27" ht="18" x14ac:dyDescent="0.35">
      <c r="A34" s="3">
        <v>33</v>
      </c>
      <c r="B34" s="3" t="s">
        <v>94</v>
      </c>
      <c r="C34" s="3" t="s">
        <v>95</v>
      </c>
      <c r="D34" s="3" t="s">
        <v>33</v>
      </c>
      <c r="E34" s="3"/>
      <c r="F34" s="3"/>
      <c r="G34" s="3">
        <v>26</v>
      </c>
      <c r="H34" s="3">
        <v>15272</v>
      </c>
      <c r="I34" s="3">
        <v>5345</v>
      </c>
      <c r="J34" s="3">
        <v>5370</v>
      </c>
      <c r="K34" s="3">
        <v>0</v>
      </c>
      <c r="L34" s="3">
        <v>0</v>
      </c>
      <c r="M34" s="3">
        <v>0</v>
      </c>
      <c r="N34" s="3">
        <v>25987</v>
      </c>
      <c r="O34" s="3">
        <v>1800</v>
      </c>
      <c r="P34" s="3">
        <v>0</v>
      </c>
      <c r="Q34" s="3">
        <v>0</v>
      </c>
      <c r="R34" s="3">
        <v>0</v>
      </c>
      <c r="S34" s="3">
        <v>0</v>
      </c>
      <c r="T34" s="3">
        <v>1825</v>
      </c>
      <c r="U34" s="3">
        <v>24162</v>
      </c>
      <c r="V34" s="3">
        <v>24187</v>
      </c>
      <c r="W34" s="4">
        <f>U34-V34</f>
        <v>-25</v>
      </c>
      <c r="X34" s="3">
        <v>1800</v>
      </c>
      <c r="Y34" s="3">
        <v>0</v>
      </c>
      <c r="Z34" s="3">
        <v>735</v>
      </c>
      <c r="AA34" s="3">
        <v>28522</v>
      </c>
    </row>
    <row r="35" spans="1:27" ht="18" x14ac:dyDescent="0.35">
      <c r="A35" s="3">
        <v>34</v>
      </c>
      <c r="B35" s="3" t="s">
        <v>96</v>
      </c>
      <c r="C35" s="3" t="s">
        <v>97</v>
      </c>
      <c r="D35" s="3" t="s">
        <v>33</v>
      </c>
      <c r="E35" s="3"/>
      <c r="F35" s="3"/>
      <c r="G35" s="3">
        <v>26</v>
      </c>
      <c r="H35" s="3">
        <v>12657</v>
      </c>
      <c r="I35" s="3">
        <v>4430</v>
      </c>
      <c r="J35" s="3">
        <v>4764</v>
      </c>
      <c r="K35" s="3">
        <v>0</v>
      </c>
      <c r="L35" s="3">
        <v>0</v>
      </c>
      <c r="M35" s="3">
        <v>0</v>
      </c>
      <c r="N35" s="3">
        <v>21851</v>
      </c>
      <c r="O35" s="3">
        <v>1800</v>
      </c>
      <c r="P35" s="3">
        <v>0</v>
      </c>
      <c r="Q35" s="3">
        <v>0</v>
      </c>
      <c r="R35" s="3">
        <v>0</v>
      </c>
      <c r="S35" s="3">
        <v>0</v>
      </c>
      <c r="T35" s="3">
        <v>1825</v>
      </c>
      <c r="U35" s="3">
        <v>20026</v>
      </c>
      <c r="V35" s="3">
        <v>20051</v>
      </c>
      <c r="W35" s="4">
        <f>U35-V35</f>
        <v>-25</v>
      </c>
      <c r="X35" s="3">
        <v>1800</v>
      </c>
      <c r="Y35" s="3">
        <v>0</v>
      </c>
      <c r="Z35" s="3">
        <v>609</v>
      </c>
      <c r="AA35" s="3">
        <v>24260</v>
      </c>
    </row>
    <row r="36" spans="1:27" ht="18" x14ac:dyDescent="0.35">
      <c r="A36" s="3">
        <v>35</v>
      </c>
      <c r="B36" s="3" t="s">
        <v>98</v>
      </c>
      <c r="C36" s="3" t="s">
        <v>99</v>
      </c>
      <c r="D36" s="3" t="s">
        <v>33</v>
      </c>
      <c r="E36" s="3"/>
      <c r="F36" s="3"/>
      <c r="G36" s="3">
        <v>36</v>
      </c>
      <c r="H36" s="3">
        <v>12657</v>
      </c>
      <c r="I36" s="3">
        <v>4430</v>
      </c>
      <c r="J36" s="3">
        <v>4764</v>
      </c>
      <c r="K36" s="3">
        <v>0</v>
      </c>
      <c r="L36" s="3">
        <v>0</v>
      </c>
      <c r="M36" s="3">
        <v>0</v>
      </c>
      <c r="N36" s="3">
        <v>21851</v>
      </c>
      <c r="O36" s="3">
        <v>1080</v>
      </c>
      <c r="P36" s="3">
        <v>0</v>
      </c>
      <c r="Q36" s="3">
        <v>0</v>
      </c>
      <c r="R36" s="3">
        <v>0</v>
      </c>
      <c r="S36" s="3">
        <v>0</v>
      </c>
      <c r="T36" s="3">
        <v>1105</v>
      </c>
      <c r="U36" s="3">
        <v>20746</v>
      </c>
      <c r="V36" s="3">
        <v>11310</v>
      </c>
      <c r="W36" s="4">
        <f>U36-V36</f>
        <v>9436</v>
      </c>
      <c r="X36" s="3">
        <v>1080</v>
      </c>
      <c r="Y36" s="3">
        <v>0</v>
      </c>
      <c r="Z36" s="3">
        <v>609</v>
      </c>
      <c r="AA36" s="3">
        <v>23540</v>
      </c>
    </row>
    <row r="37" spans="1:27" ht="18" x14ac:dyDescent="0.35">
      <c r="A37" s="3">
        <v>36</v>
      </c>
      <c r="B37" s="3" t="s">
        <v>100</v>
      </c>
      <c r="C37" s="3" t="s">
        <v>101</v>
      </c>
      <c r="D37" s="3" t="s">
        <v>33</v>
      </c>
      <c r="E37" s="3"/>
      <c r="F37" s="3"/>
      <c r="G37" s="3">
        <v>26</v>
      </c>
      <c r="H37" s="3">
        <v>15820</v>
      </c>
      <c r="I37" s="3">
        <v>5537</v>
      </c>
      <c r="J37" s="3">
        <v>5155</v>
      </c>
      <c r="K37" s="3">
        <v>0</v>
      </c>
      <c r="L37" s="3">
        <v>500</v>
      </c>
      <c r="M37" s="3">
        <v>0</v>
      </c>
      <c r="N37" s="3">
        <v>27012</v>
      </c>
      <c r="O37" s="3">
        <v>1800</v>
      </c>
      <c r="P37" s="3">
        <v>0</v>
      </c>
      <c r="Q37" s="3">
        <v>0</v>
      </c>
      <c r="R37" s="3">
        <v>0</v>
      </c>
      <c r="S37" s="3">
        <v>0</v>
      </c>
      <c r="T37" s="3">
        <v>1825</v>
      </c>
      <c r="U37" s="3">
        <v>25187</v>
      </c>
      <c r="V37" s="3">
        <v>25212</v>
      </c>
      <c r="W37" s="4">
        <f>U37-V37</f>
        <v>-25</v>
      </c>
      <c r="X37" s="3">
        <v>1800</v>
      </c>
      <c r="Y37" s="3">
        <v>0</v>
      </c>
      <c r="Z37" s="3">
        <v>761</v>
      </c>
      <c r="AA37" s="3">
        <v>29573</v>
      </c>
    </row>
    <row r="38" spans="1:27" ht="18" x14ac:dyDescent="0.35">
      <c r="A38" s="3">
        <v>37</v>
      </c>
      <c r="B38" s="3" t="s">
        <v>102</v>
      </c>
      <c r="C38" s="3" t="s">
        <v>103</v>
      </c>
      <c r="D38" s="3" t="s">
        <v>27</v>
      </c>
      <c r="E38" s="3"/>
      <c r="F38" s="3"/>
      <c r="G38" s="3">
        <v>26</v>
      </c>
      <c r="H38" s="3">
        <v>21605</v>
      </c>
      <c r="I38" s="3">
        <v>7562</v>
      </c>
      <c r="J38" s="3">
        <v>8655</v>
      </c>
      <c r="K38" s="3">
        <v>0</v>
      </c>
      <c r="L38" s="3">
        <v>0</v>
      </c>
      <c r="M38" s="3">
        <v>0</v>
      </c>
      <c r="N38" s="3">
        <v>37822</v>
      </c>
      <c r="O38" s="3">
        <v>1800</v>
      </c>
      <c r="P38" s="3">
        <v>0</v>
      </c>
      <c r="Q38" s="3">
        <v>200</v>
      </c>
      <c r="R38" s="3">
        <v>0</v>
      </c>
      <c r="S38" s="3">
        <v>0</v>
      </c>
      <c r="T38" s="3">
        <v>2025</v>
      </c>
      <c r="U38" s="3">
        <v>35797</v>
      </c>
      <c r="V38" s="3">
        <v>35822</v>
      </c>
      <c r="W38" s="4">
        <f>U38-V38</f>
        <v>-25</v>
      </c>
      <c r="X38" s="3">
        <v>1800</v>
      </c>
      <c r="Y38" s="3">
        <v>0</v>
      </c>
      <c r="Z38" s="3">
        <v>1039</v>
      </c>
      <c r="AA38" s="3">
        <v>40661</v>
      </c>
    </row>
    <row r="39" spans="1:27" ht="18" x14ac:dyDescent="0.35">
      <c r="A39" s="3">
        <v>38</v>
      </c>
      <c r="B39" s="3" t="s">
        <v>104</v>
      </c>
      <c r="C39" s="3" t="s">
        <v>105</v>
      </c>
      <c r="D39" s="3" t="s">
        <v>106</v>
      </c>
      <c r="E39" s="3"/>
      <c r="F39" s="3"/>
      <c r="G39" s="3">
        <v>26</v>
      </c>
      <c r="H39" s="3">
        <v>19357</v>
      </c>
      <c r="I39" s="3">
        <v>6775</v>
      </c>
      <c r="J39" s="3">
        <v>6989</v>
      </c>
      <c r="K39" s="3">
        <v>0</v>
      </c>
      <c r="L39" s="3">
        <v>500</v>
      </c>
      <c r="M39" s="3">
        <v>0</v>
      </c>
      <c r="N39" s="3">
        <v>33621</v>
      </c>
      <c r="O39" s="3">
        <v>1800</v>
      </c>
      <c r="P39" s="3">
        <v>0</v>
      </c>
      <c r="Q39" s="3">
        <v>200</v>
      </c>
      <c r="R39" s="3">
        <v>0</v>
      </c>
      <c r="S39" s="3">
        <v>0</v>
      </c>
      <c r="T39" s="3">
        <v>2025</v>
      </c>
      <c r="U39" s="3">
        <v>31596</v>
      </c>
      <c r="V39" s="3">
        <v>31821</v>
      </c>
      <c r="W39" s="4">
        <f>U39-V39</f>
        <v>-225</v>
      </c>
      <c r="X39" s="3">
        <v>1800</v>
      </c>
      <c r="Y39" s="3">
        <v>0</v>
      </c>
      <c r="Z39" s="3">
        <v>931</v>
      </c>
      <c r="AA39" s="3">
        <v>36352</v>
      </c>
    </row>
    <row r="40" spans="1:27" ht="18" x14ac:dyDescent="0.35">
      <c r="A40" s="3">
        <v>39</v>
      </c>
      <c r="B40" s="3" t="s">
        <v>107</v>
      </c>
      <c r="C40" s="3" t="s">
        <v>108</v>
      </c>
      <c r="D40" s="3" t="s">
        <v>106</v>
      </c>
      <c r="E40" s="3"/>
      <c r="F40" s="3"/>
      <c r="G40" s="3">
        <v>26</v>
      </c>
      <c r="H40" s="3">
        <v>18798</v>
      </c>
      <c r="I40" s="3">
        <v>6579</v>
      </c>
      <c r="J40" s="3">
        <v>6699</v>
      </c>
      <c r="K40" s="3">
        <v>0</v>
      </c>
      <c r="L40" s="3">
        <v>500</v>
      </c>
      <c r="M40" s="3">
        <v>0</v>
      </c>
      <c r="N40" s="3">
        <v>32576</v>
      </c>
      <c r="O40" s="3">
        <v>1800</v>
      </c>
      <c r="P40" s="3">
        <v>0</v>
      </c>
      <c r="Q40" s="3">
        <v>200</v>
      </c>
      <c r="R40" s="3">
        <v>0</v>
      </c>
      <c r="S40" s="3">
        <v>0</v>
      </c>
      <c r="T40" s="3">
        <v>2025</v>
      </c>
      <c r="U40" s="3">
        <v>30551</v>
      </c>
      <c r="V40" s="3">
        <v>30776</v>
      </c>
      <c r="W40" s="4">
        <f>U40-V40</f>
        <v>-225</v>
      </c>
      <c r="X40" s="3">
        <v>1800</v>
      </c>
      <c r="Y40" s="3">
        <v>0</v>
      </c>
      <c r="Z40" s="3">
        <v>904</v>
      </c>
      <c r="AA40" s="3">
        <v>35280</v>
      </c>
    </row>
    <row r="41" spans="1:27" ht="18" x14ac:dyDescent="0.35">
      <c r="A41" s="3">
        <v>40</v>
      </c>
      <c r="B41" s="3" t="s">
        <v>109</v>
      </c>
      <c r="C41" s="3" t="s">
        <v>110</v>
      </c>
      <c r="D41" s="3" t="s">
        <v>106</v>
      </c>
      <c r="E41" s="3"/>
      <c r="F41" s="3"/>
      <c r="G41" s="3">
        <v>26</v>
      </c>
      <c r="H41" s="3">
        <v>18765</v>
      </c>
      <c r="I41" s="3">
        <v>6568</v>
      </c>
      <c r="J41" s="3">
        <v>6682</v>
      </c>
      <c r="K41" s="3">
        <v>0</v>
      </c>
      <c r="L41" s="3">
        <v>500</v>
      </c>
      <c r="M41" s="3">
        <v>0</v>
      </c>
      <c r="N41" s="3">
        <v>32515</v>
      </c>
      <c r="O41" s="3">
        <v>1800</v>
      </c>
      <c r="P41" s="3">
        <v>0</v>
      </c>
      <c r="Q41" s="3">
        <v>200</v>
      </c>
      <c r="R41" s="3">
        <v>0</v>
      </c>
      <c r="S41" s="3">
        <v>0</v>
      </c>
      <c r="T41" s="3">
        <v>2025</v>
      </c>
      <c r="U41" s="3">
        <v>30490</v>
      </c>
      <c r="V41" s="3">
        <v>30715</v>
      </c>
      <c r="W41" s="4">
        <f>U41-V41</f>
        <v>-225</v>
      </c>
      <c r="X41" s="3">
        <v>1800</v>
      </c>
      <c r="Y41" s="3">
        <v>0</v>
      </c>
      <c r="Z41" s="3">
        <v>903</v>
      </c>
      <c r="AA41" s="3">
        <v>35218</v>
      </c>
    </row>
    <row r="42" spans="1:27" ht="18" x14ac:dyDescent="0.35">
      <c r="A42" s="3">
        <v>41</v>
      </c>
      <c r="B42" s="3" t="s">
        <v>111</v>
      </c>
      <c r="C42" s="3" t="s">
        <v>112</v>
      </c>
      <c r="D42" s="3" t="s">
        <v>36</v>
      </c>
      <c r="E42" s="3"/>
      <c r="F42" s="3"/>
      <c r="G42" s="3">
        <v>26</v>
      </c>
      <c r="H42" s="3">
        <v>23691</v>
      </c>
      <c r="I42" s="3">
        <v>8292</v>
      </c>
      <c r="J42" s="3">
        <v>9237</v>
      </c>
      <c r="K42" s="3">
        <v>0</v>
      </c>
      <c r="L42" s="3">
        <v>500</v>
      </c>
      <c r="M42" s="3">
        <v>0</v>
      </c>
      <c r="N42" s="3">
        <v>41720</v>
      </c>
      <c r="O42" s="3">
        <v>1800</v>
      </c>
      <c r="P42" s="3">
        <v>0</v>
      </c>
      <c r="Q42" s="3">
        <v>208</v>
      </c>
      <c r="R42" s="3">
        <v>0</v>
      </c>
      <c r="S42" s="3">
        <v>0</v>
      </c>
      <c r="T42" s="3">
        <v>2033</v>
      </c>
      <c r="U42" s="3">
        <v>39687</v>
      </c>
      <c r="V42" s="3">
        <v>39920</v>
      </c>
      <c r="W42" s="4">
        <f>U42-V42</f>
        <v>-233</v>
      </c>
      <c r="X42" s="3">
        <v>1800</v>
      </c>
      <c r="Y42" s="3">
        <v>0</v>
      </c>
      <c r="Z42" s="3">
        <v>1140</v>
      </c>
      <c r="AA42" s="3">
        <v>44660</v>
      </c>
    </row>
    <row r="43" spans="1:27" ht="18" x14ac:dyDescent="0.35">
      <c r="A43" s="3">
        <v>42</v>
      </c>
      <c r="B43" s="3" t="s">
        <v>113</v>
      </c>
      <c r="C43" s="3" t="s">
        <v>114</v>
      </c>
      <c r="D43" s="3" t="s">
        <v>30</v>
      </c>
      <c r="E43" s="3"/>
      <c r="F43" s="3"/>
      <c r="G43" s="3">
        <v>26</v>
      </c>
      <c r="H43" s="3">
        <v>29900</v>
      </c>
      <c r="I43" s="3">
        <v>10465</v>
      </c>
      <c r="J43" s="3">
        <v>12457</v>
      </c>
      <c r="K43" s="3">
        <v>0</v>
      </c>
      <c r="L43" s="3">
        <v>500</v>
      </c>
      <c r="M43" s="3">
        <v>0</v>
      </c>
      <c r="N43" s="3">
        <v>53322</v>
      </c>
      <c r="O43" s="3">
        <v>1800</v>
      </c>
      <c r="P43" s="3">
        <v>0</v>
      </c>
      <c r="Q43" s="3">
        <v>200</v>
      </c>
      <c r="R43" s="3">
        <v>0</v>
      </c>
      <c r="S43" s="3">
        <v>0</v>
      </c>
      <c r="T43" s="3">
        <v>2025</v>
      </c>
      <c r="U43" s="3">
        <v>51297</v>
      </c>
      <c r="V43" s="3">
        <v>51322</v>
      </c>
      <c r="W43" s="4">
        <f>U43-V43</f>
        <v>-25</v>
      </c>
      <c r="X43" s="3">
        <v>1800</v>
      </c>
      <c r="Y43" s="3">
        <v>0</v>
      </c>
      <c r="Z43" s="3">
        <v>1438</v>
      </c>
      <c r="AA43" s="3">
        <v>56560</v>
      </c>
    </row>
    <row r="44" spans="1:27" ht="18" x14ac:dyDescent="0.35">
      <c r="A44" s="3">
        <v>43</v>
      </c>
      <c r="B44" s="3" t="s">
        <v>115</v>
      </c>
      <c r="C44" s="3" t="s">
        <v>116</v>
      </c>
      <c r="D44" s="3" t="s">
        <v>117</v>
      </c>
      <c r="E44" s="3"/>
      <c r="F44" s="3"/>
      <c r="G44" s="3">
        <v>26</v>
      </c>
      <c r="H44" s="3">
        <v>23465</v>
      </c>
      <c r="I44" s="3">
        <v>8213</v>
      </c>
      <c r="J44" s="3">
        <v>9119</v>
      </c>
      <c r="K44" s="3">
        <v>0</v>
      </c>
      <c r="L44" s="3">
        <v>500</v>
      </c>
      <c r="M44" s="3">
        <v>0</v>
      </c>
      <c r="N44" s="3">
        <v>41297</v>
      </c>
      <c r="O44" s="3">
        <v>1800</v>
      </c>
      <c r="P44" s="3">
        <v>0</v>
      </c>
      <c r="Q44" s="3">
        <v>200</v>
      </c>
      <c r="R44" s="3">
        <v>0</v>
      </c>
      <c r="S44" s="3">
        <v>0</v>
      </c>
      <c r="T44" s="3">
        <v>2025</v>
      </c>
      <c r="U44" s="3">
        <v>39272</v>
      </c>
      <c r="V44" s="3">
        <v>39297</v>
      </c>
      <c r="W44" s="4">
        <f>U44-V44</f>
        <v>-25</v>
      </c>
      <c r="X44" s="3">
        <v>1800</v>
      </c>
      <c r="Y44" s="3">
        <v>0</v>
      </c>
      <c r="Z44" s="3">
        <v>1129</v>
      </c>
      <c r="AA44" s="3">
        <v>44226</v>
      </c>
    </row>
    <row r="45" spans="1:27" ht="18" x14ac:dyDescent="0.35">
      <c r="A45" s="3">
        <v>44</v>
      </c>
      <c r="B45" s="3" t="s">
        <v>118</v>
      </c>
      <c r="C45" s="3" t="s">
        <v>119</v>
      </c>
      <c r="D45" s="3" t="s">
        <v>120</v>
      </c>
      <c r="E45" s="3"/>
      <c r="F45" s="3"/>
      <c r="G45" s="3">
        <v>26</v>
      </c>
      <c r="H45" s="3">
        <v>17673</v>
      </c>
      <c r="I45" s="3">
        <v>6186</v>
      </c>
      <c r="J45" s="3">
        <v>6116</v>
      </c>
      <c r="K45" s="3">
        <v>0</v>
      </c>
      <c r="L45" s="3">
        <v>500</v>
      </c>
      <c r="M45" s="3">
        <v>0</v>
      </c>
      <c r="N45" s="3">
        <v>30475</v>
      </c>
      <c r="O45" s="3">
        <v>1800</v>
      </c>
      <c r="P45" s="3">
        <v>0</v>
      </c>
      <c r="Q45" s="3">
        <v>200</v>
      </c>
      <c r="R45" s="3">
        <v>0</v>
      </c>
      <c r="S45" s="3">
        <v>0</v>
      </c>
      <c r="T45" s="3">
        <v>2025</v>
      </c>
      <c r="U45" s="3">
        <v>28450</v>
      </c>
      <c r="V45" s="3">
        <v>28675</v>
      </c>
      <c r="W45" s="4">
        <f>U45-V45</f>
        <v>-225</v>
      </c>
      <c r="X45" s="3">
        <v>1800</v>
      </c>
      <c r="Y45" s="3">
        <v>0</v>
      </c>
      <c r="Z45" s="3">
        <v>850</v>
      </c>
      <c r="AA45" s="3">
        <v>33125</v>
      </c>
    </row>
    <row r="46" spans="1:27" ht="18" x14ac:dyDescent="0.35">
      <c r="A46" s="3">
        <v>45</v>
      </c>
      <c r="B46" s="3" t="s">
        <v>121</v>
      </c>
      <c r="C46" s="3" t="s">
        <v>122</v>
      </c>
      <c r="D46" s="3" t="s">
        <v>123</v>
      </c>
      <c r="E46" s="3"/>
      <c r="F46" s="3"/>
      <c r="G46" s="3">
        <v>26</v>
      </c>
      <c r="H46" s="3">
        <v>21504</v>
      </c>
      <c r="I46" s="3">
        <v>7526</v>
      </c>
      <c r="J46" s="3">
        <v>8102</v>
      </c>
      <c r="K46" s="3">
        <v>0</v>
      </c>
      <c r="L46" s="3">
        <v>500</v>
      </c>
      <c r="M46" s="3">
        <v>0</v>
      </c>
      <c r="N46" s="3">
        <v>37632</v>
      </c>
      <c r="O46" s="3">
        <v>1800</v>
      </c>
      <c r="P46" s="3">
        <v>0</v>
      </c>
      <c r="Q46" s="3">
        <v>200</v>
      </c>
      <c r="R46" s="3">
        <v>0</v>
      </c>
      <c r="S46" s="3">
        <v>0</v>
      </c>
      <c r="T46" s="3">
        <v>2025</v>
      </c>
      <c r="U46" s="3">
        <v>35607</v>
      </c>
      <c r="V46" s="3">
        <v>35632</v>
      </c>
      <c r="W46" s="4">
        <f>U46-V46</f>
        <v>-25</v>
      </c>
      <c r="X46" s="3">
        <v>1800</v>
      </c>
      <c r="Y46" s="3">
        <v>0</v>
      </c>
      <c r="Z46" s="3">
        <v>1034</v>
      </c>
      <c r="AA46" s="3">
        <v>40466</v>
      </c>
    </row>
    <row r="47" spans="1:27" ht="18" x14ac:dyDescent="0.35">
      <c r="A47" s="3">
        <v>46</v>
      </c>
      <c r="B47" s="3" t="s">
        <v>124</v>
      </c>
      <c r="C47" s="3" t="s">
        <v>125</v>
      </c>
      <c r="D47" s="3" t="s">
        <v>30</v>
      </c>
      <c r="E47" s="3"/>
      <c r="F47" s="3"/>
      <c r="G47" s="3">
        <v>26</v>
      </c>
      <c r="H47" s="3">
        <v>21266</v>
      </c>
      <c r="I47" s="3">
        <v>7443</v>
      </c>
      <c r="J47" s="3">
        <v>7979</v>
      </c>
      <c r="K47" s="3">
        <v>0</v>
      </c>
      <c r="L47" s="3">
        <v>500</v>
      </c>
      <c r="M47" s="3">
        <v>0</v>
      </c>
      <c r="N47" s="3">
        <v>37188</v>
      </c>
      <c r="O47" s="3">
        <v>1800</v>
      </c>
      <c r="P47" s="3">
        <v>0</v>
      </c>
      <c r="Q47" s="3">
        <v>200</v>
      </c>
      <c r="R47" s="3">
        <v>0</v>
      </c>
      <c r="S47" s="3">
        <v>0</v>
      </c>
      <c r="T47" s="3">
        <v>2025</v>
      </c>
      <c r="U47" s="3">
        <v>35163</v>
      </c>
      <c r="V47" s="3">
        <v>35238</v>
      </c>
      <c r="W47" s="4">
        <f>U47-V47</f>
        <v>-75</v>
      </c>
      <c r="X47" s="3">
        <v>1800</v>
      </c>
      <c r="Y47" s="3">
        <v>0</v>
      </c>
      <c r="Z47" s="3">
        <v>1023</v>
      </c>
      <c r="AA47" s="3">
        <v>40011</v>
      </c>
    </row>
    <row r="48" spans="1:27" ht="18" x14ac:dyDescent="0.35">
      <c r="A48" s="3">
        <v>47</v>
      </c>
      <c r="B48" s="3" t="s">
        <v>126</v>
      </c>
      <c r="C48" s="3" t="s">
        <v>127</v>
      </c>
      <c r="D48" s="3" t="s">
        <v>27</v>
      </c>
      <c r="E48" s="3"/>
      <c r="F48" s="3"/>
      <c r="G48" s="3">
        <v>26</v>
      </c>
      <c r="H48" s="3">
        <v>20608</v>
      </c>
      <c r="I48" s="3">
        <v>7213</v>
      </c>
      <c r="J48" s="3">
        <v>7638</v>
      </c>
      <c r="K48" s="3">
        <v>0</v>
      </c>
      <c r="L48" s="3">
        <v>500</v>
      </c>
      <c r="M48" s="3">
        <v>0</v>
      </c>
      <c r="N48" s="3">
        <v>35959</v>
      </c>
      <c r="O48" s="3">
        <v>1800</v>
      </c>
      <c r="P48" s="3">
        <v>0</v>
      </c>
      <c r="Q48" s="3">
        <v>200</v>
      </c>
      <c r="R48" s="3">
        <v>0</v>
      </c>
      <c r="S48" s="3">
        <v>0</v>
      </c>
      <c r="T48" s="3">
        <v>2025</v>
      </c>
      <c r="U48" s="3">
        <v>33934</v>
      </c>
      <c r="V48" s="3">
        <v>33959</v>
      </c>
      <c r="W48" s="4">
        <f>U48-V48</f>
        <v>-25</v>
      </c>
      <c r="X48" s="3">
        <v>1800</v>
      </c>
      <c r="Y48" s="3">
        <v>0</v>
      </c>
      <c r="Z48" s="3">
        <v>991</v>
      </c>
      <c r="AA48" s="3">
        <v>38750</v>
      </c>
    </row>
    <row r="49" spans="1:27" ht="18" x14ac:dyDescent="0.35">
      <c r="A49" s="3">
        <v>48</v>
      </c>
      <c r="B49" s="3" t="s">
        <v>128</v>
      </c>
      <c r="C49" s="3" t="s">
        <v>129</v>
      </c>
      <c r="D49" s="3" t="s">
        <v>30</v>
      </c>
      <c r="E49" s="3"/>
      <c r="F49" s="3"/>
      <c r="G49" s="3">
        <v>26</v>
      </c>
      <c r="H49" s="3">
        <v>25376</v>
      </c>
      <c r="I49" s="3">
        <v>8882</v>
      </c>
      <c r="J49" s="3">
        <v>10111</v>
      </c>
      <c r="K49" s="3">
        <v>0</v>
      </c>
      <c r="L49" s="3">
        <v>500</v>
      </c>
      <c r="M49" s="3">
        <v>0</v>
      </c>
      <c r="N49" s="3">
        <v>44869</v>
      </c>
      <c r="O49" s="3">
        <v>1800</v>
      </c>
      <c r="P49" s="3">
        <v>0</v>
      </c>
      <c r="Q49" s="3">
        <v>200</v>
      </c>
      <c r="R49" s="3">
        <v>0</v>
      </c>
      <c r="S49" s="3">
        <v>0</v>
      </c>
      <c r="T49" s="3">
        <v>2025</v>
      </c>
      <c r="U49" s="3">
        <v>42844</v>
      </c>
      <c r="V49" s="3">
        <v>42869</v>
      </c>
      <c r="W49" s="4">
        <f>U49-V49</f>
        <v>-25</v>
      </c>
      <c r="X49" s="3">
        <v>1800</v>
      </c>
      <c r="Y49" s="3">
        <v>0</v>
      </c>
      <c r="Z49" s="3">
        <v>1221</v>
      </c>
      <c r="AA49" s="3">
        <v>47890</v>
      </c>
    </row>
    <row r="50" spans="1:27" ht="18" x14ac:dyDescent="0.35">
      <c r="A50" s="3">
        <v>49</v>
      </c>
      <c r="B50" s="3" t="s">
        <v>130</v>
      </c>
      <c r="C50" s="3" t="s">
        <v>131</v>
      </c>
      <c r="D50" s="3" t="s">
        <v>33</v>
      </c>
      <c r="E50" s="3"/>
      <c r="F50" s="3"/>
      <c r="G50" s="3">
        <v>26</v>
      </c>
      <c r="H50" s="3">
        <v>34103</v>
      </c>
      <c r="I50" s="3">
        <v>11936</v>
      </c>
      <c r="J50" s="3">
        <v>14637</v>
      </c>
      <c r="K50" s="3">
        <v>0</v>
      </c>
      <c r="L50" s="3">
        <v>500</v>
      </c>
      <c r="M50" s="3">
        <v>0</v>
      </c>
      <c r="N50" s="3">
        <v>61176</v>
      </c>
      <c r="O50" s="3">
        <v>1800</v>
      </c>
      <c r="P50" s="3">
        <v>0</v>
      </c>
      <c r="Q50" s="3">
        <v>200</v>
      </c>
      <c r="R50" s="3">
        <v>0</v>
      </c>
      <c r="S50" s="3">
        <v>0</v>
      </c>
      <c r="T50" s="3">
        <v>2025</v>
      </c>
      <c r="U50" s="3">
        <v>59151</v>
      </c>
      <c r="V50" s="3">
        <v>59176</v>
      </c>
      <c r="W50" s="4">
        <f>U50-V50</f>
        <v>-25</v>
      </c>
      <c r="X50" s="3">
        <v>1800</v>
      </c>
      <c r="Y50" s="3">
        <v>0</v>
      </c>
      <c r="Z50" s="3">
        <v>1640</v>
      </c>
      <c r="AA50" s="3">
        <v>64616</v>
      </c>
    </row>
    <row r="51" spans="1:27" ht="18" x14ac:dyDescent="0.35">
      <c r="A51" s="3">
        <v>50</v>
      </c>
      <c r="B51" s="3" t="s">
        <v>132</v>
      </c>
      <c r="C51" s="3" t="s">
        <v>133</v>
      </c>
      <c r="D51" s="3" t="s">
        <v>106</v>
      </c>
      <c r="E51" s="3"/>
      <c r="F51" s="3"/>
      <c r="G51" s="3">
        <v>26</v>
      </c>
      <c r="H51" s="3">
        <v>13108</v>
      </c>
      <c r="I51" s="3">
        <v>4588</v>
      </c>
      <c r="J51" s="3">
        <v>4498</v>
      </c>
      <c r="K51" s="3">
        <v>0</v>
      </c>
      <c r="L51" s="3">
        <v>500</v>
      </c>
      <c r="M51" s="3">
        <v>0</v>
      </c>
      <c r="N51" s="3">
        <v>22694</v>
      </c>
      <c r="O51" s="3">
        <v>1800</v>
      </c>
      <c r="P51" s="3">
        <v>0</v>
      </c>
      <c r="Q51" s="3">
        <v>200</v>
      </c>
      <c r="R51" s="3">
        <v>0</v>
      </c>
      <c r="S51" s="3">
        <v>0</v>
      </c>
      <c r="T51" s="3">
        <v>2025</v>
      </c>
      <c r="U51" s="3">
        <v>20669</v>
      </c>
      <c r="V51" s="3">
        <v>20894</v>
      </c>
      <c r="W51" s="4">
        <f>U51-V51</f>
        <v>-225</v>
      </c>
      <c r="X51" s="3">
        <v>1800</v>
      </c>
      <c r="Y51" s="3">
        <v>0</v>
      </c>
      <c r="Z51" s="3">
        <v>630</v>
      </c>
      <c r="AA51" s="3">
        <v>25124</v>
      </c>
    </row>
    <row r="52" spans="1:27" ht="18" x14ac:dyDescent="0.35">
      <c r="A52" s="3">
        <v>51</v>
      </c>
      <c r="B52" s="3" t="s">
        <v>134</v>
      </c>
      <c r="C52" s="3" t="s">
        <v>135</v>
      </c>
      <c r="D52" s="3" t="s">
        <v>106</v>
      </c>
      <c r="E52" s="3"/>
      <c r="F52" s="3"/>
      <c r="G52" s="3">
        <v>26</v>
      </c>
      <c r="H52" s="3">
        <v>14105</v>
      </c>
      <c r="I52" s="3">
        <v>4937</v>
      </c>
      <c r="J52" s="3">
        <v>4265</v>
      </c>
      <c r="K52" s="3">
        <v>0</v>
      </c>
      <c r="L52" s="3">
        <v>500</v>
      </c>
      <c r="M52" s="3">
        <v>0</v>
      </c>
      <c r="N52" s="3">
        <v>23807</v>
      </c>
      <c r="O52" s="3">
        <v>1800</v>
      </c>
      <c r="P52" s="3">
        <v>0</v>
      </c>
      <c r="Q52" s="3">
        <v>200</v>
      </c>
      <c r="R52" s="3">
        <v>0</v>
      </c>
      <c r="S52" s="3">
        <v>0</v>
      </c>
      <c r="T52" s="3">
        <v>2025</v>
      </c>
      <c r="U52" s="3">
        <v>21782</v>
      </c>
      <c r="V52" s="3">
        <v>22007</v>
      </c>
      <c r="W52" s="4">
        <f>U52-V52</f>
        <v>-225</v>
      </c>
      <c r="X52" s="3">
        <v>1800</v>
      </c>
      <c r="Y52" s="3">
        <v>0</v>
      </c>
      <c r="Z52" s="3">
        <v>678</v>
      </c>
      <c r="AA52" s="3">
        <v>26285</v>
      </c>
    </row>
    <row r="53" spans="1:27" ht="18" x14ac:dyDescent="0.35">
      <c r="A53" s="3">
        <v>52</v>
      </c>
      <c r="B53" s="3" t="s">
        <v>136</v>
      </c>
      <c r="C53" s="3" t="s">
        <v>137</v>
      </c>
      <c r="D53" s="3" t="s">
        <v>106</v>
      </c>
      <c r="E53" s="3"/>
      <c r="F53" s="3"/>
      <c r="G53" s="3">
        <v>26</v>
      </c>
      <c r="H53" s="3">
        <v>14228</v>
      </c>
      <c r="I53" s="3">
        <v>4980</v>
      </c>
      <c r="J53" s="3">
        <v>5079</v>
      </c>
      <c r="K53" s="3">
        <v>0</v>
      </c>
      <c r="L53" s="3">
        <v>500</v>
      </c>
      <c r="M53" s="3">
        <v>0</v>
      </c>
      <c r="N53" s="3">
        <v>24787</v>
      </c>
      <c r="O53" s="3">
        <v>1800</v>
      </c>
      <c r="P53" s="3">
        <v>0</v>
      </c>
      <c r="Q53" s="3">
        <v>200</v>
      </c>
      <c r="R53" s="3">
        <v>0</v>
      </c>
      <c r="S53" s="3">
        <v>0</v>
      </c>
      <c r="T53" s="3">
        <v>2025</v>
      </c>
      <c r="U53" s="3">
        <v>22762</v>
      </c>
      <c r="V53" s="3">
        <v>22987</v>
      </c>
      <c r="W53" s="4">
        <f>U53-V53</f>
        <v>-225</v>
      </c>
      <c r="X53" s="3">
        <v>1800</v>
      </c>
      <c r="Y53" s="3">
        <v>0</v>
      </c>
      <c r="Z53" s="3">
        <v>684</v>
      </c>
      <c r="AA53" s="3">
        <v>27271</v>
      </c>
    </row>
    <row r="54" spans="1:27" ht="18" x14ac:dyDescent="0.35">
      <c r="A54" s="3">
        <v>53</v>
      </c>
      <c r="B54" s="3" t="s">
        <v>138</v>
      </c>
      <c r="C54" s="3" t="s">
        <v>139</v>
      </c>
      <c r="D54" s="3" t="s">
        <v>140</v>
      </c>
      <c r="E54" s="3"/>
      <c r="F54" s="3"/>
      <c r="G54" s="3">
        <v>26</v>
      </c>
      <c r="H54" s="3">
        <v>13183</v>
      </c>
      <c r="I54" s="3">
        <v>4614</v>
      </c>
      <c r="J54" s="3">
        <v>4537</v>
      </c>
      <c r="K54" s="3">
        <v>0</v>
      </c>
      <c r="L54" s="3">
        <v>500</v>
      </c>
      <c r="M54" s="3">
        <v>0</v>
      </c>
      <c r="N54" s="3">
        <v>22834</v>
      </c>
      <c r="O54" s="3">
        <v>1800</v>
      </c>
      <c r="P54" s="3">
        <v>0</v>
      </c>
      <c r="Q54" s="3">
        <v>200</v>
      </c>
      <c r="R54" s="3">
        <v>0</v>
      </c>
      <c r="S54" s="3">
        <v>0</v>
      </c>
      <c r="T54" s="3">
        <v>2025</v>
      </c>
      <c r="U54" s="3">
        <v>20809</v>
      </c>
      <c r="V54" s="3">
        <v>21034</v>
      </c>
      <c r="W54" s="4">
        <f>U54-V54</f>
        <v>-225</v>
      </c>
      <c r="X54" s="3">
        <v>1800</v>
      </c>
      <c r="Y54" s="3">
        <v>0</v>
      </c>
      <c r="Z54" s="3">
        <v>634</v>
      </c>
      <c r="AA54" s="3">
        <v>25268</v>
      </c>
    </row>
    <row r="55" spans="1:27" ht="18" x14ac:dyDescent="0.35">
      <c r="A55" s="3">
        <v>54</v>
      </c>
      <c r="B55" s="3" t="s">
        <v>141</v>
      </c>
      <c r="C55" s="3" t="s">
        <v>142</v>
      </c>
      <c r="D55" s="3" t="s">
        <v>143</v>
      </c>
      <c r="E55" s="3"/>
      <c r="F55" s="3"/>
      <c r="G55" s="3">
        <v>25</v>
      </c>
      <c r="H55" s="3">
        <v>14339</v>
      </c>
      <c r="I55" s="3">
        <v>7170</v>
      </c>
      <c r="J55" s="3">
        <v>2337</v>
      </c>
      <c r="K55" s="3">
        <v>0</v>
      </c>
      <c r="L55" s="3">
        <v>483</v>
      </c>
      <c r="M55" s="3">
        <v>0</v>
      </c>
      <c r="N55" s="3">
        <v>24329</v>
      </c>
      <c r="O55" s="3">
        <v>1740</v>
      </c>
      <c r="P55" s="3">
        <v>0</v>
      </c>
      <c r="Q55" s="3">
        <v>200</v>
      </c>
      <c r="R55" s="3">
        <v>0</v>
      </c>
      <c r="S55" s="3">
        <v>0</v>
      </c>
      <c r="T55" s="3">
        <v>1965</v>
      </c>
      <c r="U55" s="3">
        <v>22364</v>
      </c>
      <c r="V55" s="3">
        <v>22530</v>
      </c>
      <c r="W55" s="4">
        <f>U55-V55</f>
        <v>-166</v>
      </c>
      <c r="X55" s="3">
        <v>1740</v>
      </c>
      <c r="Y55" s="3">
        <v>0</v>
      </c>
      <c r="Z55" s="3">
        <v>713</v>
      </c>
      <c r="AA55" s="3">
        <v>26782</v>
      </c>
    </row>
    <row r="56" spans="1:27" ht="18" x14ac:dyDescent="0.35">
      <c r="A56" s="3">
        <v>55</v>
      </c>
      <c r="B56" s="3" t="s">
        <v>144</v>
      </c>
      <c r="C56" s="3" t="s">
        <v>145</v>
      </c>
      <c r="D56" s="3" t="s">
        <v>140</v>
      </c>
      <c r="E56" s="3"/>
      <c r="F56" s="3"/>
      <c r="G56" s="3">
        <v>26</v>
      </c>
      <c r="H56" s="3">
        <v>13221</v>
      </c>
      <c r="I56" s="3">
        <v>4628</v>
      </c>
      <c r="J56" s="3">
        <v>4557</v>
      </c>
      <c r="K56" s="3">
        <v>0</v>
      </c>
      <c r="L56" s="3">
        <v>500</v>
      </c>
      <c r="M56" s="3">
        <v>0</v>
      </c>
      <c r="N56" s="3">
        <v>22906</v>
      </c>
      <c r="O56" s="3">
        <v>1800</v>
      </c>
      <c r="P56" s="3">
        <v>0</v>
      </c>
      <c r="Q56" s="3">
        <v>200</v>
      </c>
      <c r="R56" s="3">
        <v>0</v>
      </c>
      <c r="S56" s="3">
        <v>0</v>
      </c>
      <c r="T56" s="3">
        <v>2025</v>
      </c>
      <c r="U56" s="3">
        <v>20881</v>
      </c>
      <c r="V56" s="3">
        <v>21106</v>
      </c>
      <c r="W56" s="4">
        <f>U56-V56</f>
        <v>-225</v>
      </c>
      <c r="X56" s="3">
        <v>1800</v>
      </c>
      <c r="Y56" s="3">
        <v>0</v>
      </c>
      <c r="Z56" s="3">
        <v>636</v>
      </c>
      <c r="AA56" s="3">
        <v>25342</v>
      </c>
    </row>
    <row r="57" spans="1:27" ht="18" x14ac:dyDescent="0.35">
      <c r="A57" s="3">
        <v>56</v>
      </c>
      <c r="B57" s="3" t="s">
        <v>146</v>
      </c>
      <c r="C57" s="3" t="s">
        <v>147</v>
      </c>
      <c r="D57" s="3" t="s">
        <v>140</v>
      </c>
      <c r="E57" s="3"/>
      <c r="F57" s="3"/>
      <c r="G57" s="3">
        <v>26</v>
      </c>
      <c r="H57" s="3">
        <v>13112</v>
      </c>
      <c r="I57" s="3">
        <v>4589</v>
      </c>
      <c r="J57" s="3">
        <v>4500</v>
      </c>
      <c r="K57" s="3">
        <v>0</v>
      </c>
      <c r="L57" s="3">
        <v>500</v>
      </c>
      <c r="M57" s="3">
        <v>0</v>
      </c>
      <c r="N57" s="3">
        <v>22701</v>
      </c>
      <c r="O57" s="3">
        <v>1800</v>
      </c>
      <c r="P57" s="3">
        <v>0</v>
      </c>
      <c r="Q57" s="3">
        <v>200</v>
      </c>
      <c r="R57" s="3">
        <v>0</v>
      </c>
      <c r="S57" s="3">
        <v>0</v>
      </c>
      <c r="T57" s="3">
        <v>2025</v>
      </c>
      <c r="U57" s="3">
        <v>20676</v>
      </c>
      <c r="V57" s="3">
        <v>20901</v>
      </c>
      <c r="W57" s="4">
        <f>U57-V57</f>
        <v>-225</v>
      </c>
      <c r="X57" s="3">
        <v>1800</v>
      </c>
      <c r="Y57" s="3">
        <v>0</v>
      </c>
      <c r="Z57" s="3">
        <v>631</v>
      </c>
      <c r="AA57" s="3">
        <v>25132</v>
      </c>
    </row>
    <row r="58" spans="1:27" ht="18" x14ac:dyDescent="0.35">
      <c r="A58" s="3">
        <v>57</v>
      </c>
      <c r="B58" s="3" t="s">
        <v>148</v>
      </c>
      <c r="C58" s="3" t="s">
        <v>149</v>
      </c>
      <c r="D58" s="3" t="s">
        <v>27</v>
      </c>
      <c r="E58" s="3"/>
      <c r="F58" s="3"/>
      <c r="G58" s="3">
        <v>26</v>
      </c>
      <c r="H58" s="3">
        <v>14005</v>
      </c>
      <c r="I58" s="3">
        <v>4902</v>
      </c>
      <c r="J58" s="3">
        <v>5463</v>
      </c>
      <c r="K58" s="3">
        <v>0</v>
      </c>
      <c r="L58" s="3">
        <v>0</v>
      </c>
      <c r="M58" s="3">
        <v>0</v>
      </c>
      <c r="N58" s="3">
        <v>24370</v>
      </c>
      <c r="O58" s="3">
        <v>1800</v>
      </c>
      <c r="P58" s="3">
        <v>0</v>
      </c>
      <c r="Q58" s="3">
        <v>0</v>
      </c>
      <c r="R58" s="3">
        <v>0</v>
      </c>
      <c r="S58" s="3">
        <v>0</v>
      </c>
      <c r="T58" s="3">
        <v>1825</v>
      </c>
      <c r="U58" s="3">
        <v>22545</v>
      </c>
      <c r="V58" s="3">
        <v>22570</v>
      </c>
      <c r="W58" s="4">
        <f>U58-V58</f>
        <v>-25</v>
      </c>
      <c r="X58" s="3">
        <v>1800</v>
      </c>
      <c r="Y58" s="3">
        <v>0</v>
      </c>
      <c r="Z58" s="3">
        <v>674</v>
      </c>
      <c r="AA58" s="3">
        <v>26844</v>
      </c>
    </row>
    <row r="59" spans="1:27" ht="18" x14ac:dyDescent="0.35">
      <c r="A59" s="3">
        <v>58</v>
      </c>
      <c r="B59" s="3" t="s">
        <v>150</v>
      </c>
      <c r="C59" s="3" t="s">
        <v>151</v>
      </c>
      <c r="D59" s="3" t="s">
        <v>30</v>
      </c>
      <c r="E59" s="3"/>
      <c r="F59" s="3"/>
      <c r="G59" s="3">
        <v>26</v>
      </c>
      <c r="H59" s="3">
        <v>17459</v>
      </c>
      <c r="I59" s="3">
        <v>6111</v>
      </c>
      <c r="J59" s="3">
        <v>6505</v>
      </c>
      <c r="K59" s="3">
        <v>0</v>
      </c>
      <c r="L59" s="3">
        <v>0</v>
      </c>
      <c r="M59" s="3">
        <v>0</v>
      </c>
      <c r="N59" s="3">
        <v>30075</v>
      </c>
      <c r="O59" s="3">
        <v>1800</v>
      </c>
      <c r="P59" s="3">
        <v>0</v>
      </c>
      <c r="Q59" s="3">
        <v>200</v>
      </c>
      <c r="R59" s="3">
        <v>0</v>
      </c>
      <c r="S59" s="3">
        <v>0</v>
      </c>
      <c r="T59" s="3">
        <v>2025</v>
      </c>
      <c r="U59" s="3">
        <v>28050</v>
      </c>
      <c r="V59" s="3">
        <v>28125</v>
      </c>
      <c r="W59" s="4">
        <f>U59-V59</f>
        <v>-75</v>
      </c>
      <c r="X59" s="3">
        <v>1800</v>
      </c>
      <c r="Y59" s="3">
        <v>0</v>
      </c>
      <c r="Z59" s="3">
        <v>840</v>
      </c>
      <c r="AA59" s="3">
        <v>32715</v>
      </c>
    </row>
    <row r="60" spans="1:27" ht="18" x14ac:dyDescent="0.35">
      <c r="A60" s="3">
        <v>59</v>
      </c>
      <c r="B60" s="3" t="s">
        <v>152</v>
      </c>
      <c r="C60" s="3" t="s">
        <v>153</v>
      </c>
      <c r="D60" s="3" t="s">
        <v>36</v>
      </c>
      <c r="E60" s="3"/>
      <c r="F60" s="3"/>
      <c r="G60" s="3">
        <v>26</v>
      </c>
      <c r="H60" s="3">
        <v>21882</v>
      </c>
      <c r="I60" s="3">
        <v>7659</v>
      </c>
      <c r="J60" s="3">
        <v>8299</v>
      </c>
      <c r="K60" s="3">
        <v>0</v>
      </c>
      <c r="L60" s="3">
        <v>500</v>
      </c>
      <c r="M60" s="3">
        <v>0</v>
      </c>
      <c r="N60" s="3">
        <v>38340</v>
      </c>
      <c r="O60" s="3">
        <v>1800</v>
      </c>
      <c r="P60" s="3">
        <v>0</v>
      </c>
      <c r="Q60" s="3">
        <v>208</v>
      </c>
      <c r="R60" s="3">
        <v>0</v>
      </c>
      <c r="S60" s="3">
        <v>0</v>
      </c>
      <c r="T60" s="3">
        <v>2033</v>
      </c>
      <c r="U60" s="3">
        <v>36307</v>
      </c>
      <c r="V60" s="3">
        <v>36540</v>
      </c>
      <c r="W60" s="4">
        <f>U60-V60</f>
        <v>-233</v>
      </c>
      <c r="X60" s="3">
        <v>1800</v>
      </c>
      <c r="Y60" s="3">
        <v>0</v>
      </c>
      <c r="Z60" s="3">
        <v>1053</v>
      </c>
      <c r="AA60" s="3">
        <v>41193</v>
      </c>
    </row>
    <row r="61" spans="1:27" ht="18" x14ac:dyDescent="0.35">
      <c r="A61" s="3">
        <v>60</v>
      </c>
      <c r="B61" s="3" t="s">
        <v>154</v>
      </c>
      <c r="C61" s="3" t="s">
        <v>155</v>
      </c>
      <c r="D61" s="3" t="s">
        <v>36</v>
      </c>
      <c r="E61" s="3"/>
      <c r="F61" s="3"/>
      <c r="G61" s="3">
        <v>26</v>
      </c>
      <c r="H61" s="3">
        <v>51672</v>
      </c>
      <c r="I61" s="3">
        <v>18085</v>
      </c>
      <c r="J61" s="3">
        <v>23748</v>
      </c>
      <c r="K61" s="3">
        <v>0</v>
      </c>
      <c r="L61" s="3">
        <v>500</v>
      </c>
      <c r="M61" s="3">
        <v>0</v>
      </c>
      <c r="N61" s="3">
        <v>94005</v>
      </c>
      <c r="O61" s="3">
        <v>1800</v>
      </c>
      <c r="P61" s="3">
        <v>0</v>
      </c>
      <c r="Q61" s="3">
        <v>200</v>
      </c>
      <c r="R61" s="3">
        <v>4283</v>
      </c>
      <c r="S61" s="3">
        <v>0</v>
      </c>
      <c r="T61" s="3">
        <v>6308</v>
      </c>
      <c r="U61" s="3">
        <v>87697</v>
      </c>
      <c r="V61" s="3">
        <v>92005</v>
      </c>
      <c r="W61" s="4">
        <f>U61-V61</f>
        <v>-4308</v>
      </c>
      <c r="X61" s="3">
        <v>1800</v>
      </c>
      <c r="Y61" s="3">
        <v>0</v>
      </c>
      <c r="Z61" s="3">
        <v>2485</v>
      </c>
      <c r="AA61" s="3">
        <v>98290</v>
      </c>
    </row>
    <row r="62" spans="1:27" ht="18" x14ac:dyDescent="0.35">
      <c r="A62" s="3">
        <v>61</v>
      </c>
      <c r="B62" s="3" t="s">
        <v>156</v>
      </c>
      <c r="C62" s="3" t="s">
        <v>157</v>
      </c>
      <c r="D62" s="3" t="s">
        <v>27</v>
      </c>
      <c r="E62" s="3"/>
      <c r="F62" s="3"/>
      <c r="G62" s="3">
        <v>26</v>
      </c>
      <c r="H62" s="3">
        <v>17408</v>
      </c>
      <c r="I62" s="3">
        <v>6093</v>
      </c>
      <c r="J62" s="3">
        <v>5978</v>
      </c>
      <c r="K62" s="3">
        <v>0</v>
      </c>
      <c r="L62" s="3">
        <v>500</v>
      </c>
      <c r="M62" s="3">
        <v>0</v>
      </c>
      <c r="N62" s="3">
        <v>29979</v>
      </c>
      <c r="O62" s="3">
        <v>1800</v>
      </c>
      <c r="P62" s="3">
        <v>0</v>
      </c>
      <c r="Q62" s="3">
        <v>200</v>
      </c>
      <c r="R62" s="3">
        <v>0</v>
      </c>
      <c r="S62" s="3">
        <v>0</v>
      </c>
      <c r="T62" s="3">
        <v>2025</v>
      </c>
      <c r="U62" s="3">
        <v>27954</v>
      </c>
      <c r="V62" s="3">
        <v>27979</v>
      </c>
      <c r="W62" s="4">
        <f>U62-V62</f>
        <v>-25</v>
      </c>
      <c r="X62" s="3">
        <v>1800</v>
      </c>
      <c r="Y62" s="3">
        <v>0</v>
      </c>
      <c r="Z62" s="3">
        <v>837</v>
      </c>
      <c r="AA62" s="3">
        <v>32616</v>
      </c>
    </row>
    <row r="63" spans="1:27" ht="18" x14ac:dyDescent="0.35">
      <c r="A63" s="3">
        <v>62</v>
      </c>
      <c r="B63" s="3" t="s">
        <v>158</v>
      </c>
      <c r="C63" s="3" t="s">
        <v>159</v>
      </c>
      <c r="D63" s="3" t="s">
        <v>160</v>
      </c>
      <c r="E63" s="3"/>
      <c r="F63" s="3"/>
      <c r="G63" s="3">
        <v>26</v>
      </c>
      <c r="H63" s="3">
        <v>22268</v>
      </c>
      <c r="I63" s="3">
        <v>7794</v>
      </c>
      <c r="J63" s="3">
        <v>8499</v>
      </c>
      <c r="K63" s="3">
        <v>0</v>
      </c>
      <c r="L63" s="3">
        <v>500</v>
      </c>
      <c r="M63" s="3">
        <v>0</v>
      </c>
      <c r="N63" s="3">
        <v>39061</v>
      </c>
      <c r="O63" s="3">
        <v>1800</v>
      </c>
      <c r="P63" s="3">
        <v>0</v>
      </c>
      <c r="Q63" s="3">
        <v>200</v>
      </c>
      <c r="R63" s="3">
        <v>0</v>
      </c>
      <c r="S63" s="3">
        <v>0</v>
      </c>
      <c r="T63" s="3">
        <v>2025</v>
      </c>
      <c r="U63" s="3">
        <v>37036</v>
      </c>
      <c r="V63" s="3">
        <v>37111</v>
      </c>
      <c r="W63" s="4">
        <f>U63-V63</f>
        <v>-75</v>
      </c>
      <c r="X63" s="3">
        <v>1800</v>
      </c>
      <c r="Y63" s="3">
        <v>0</v>
      </c>
      <c r="Z63" s="3">
        <v>1071</v>
      </c>
      <c r="AA63" s="3">
        <v>41932</v>
      </c>
    </row>
    <row r="64" spans="1:27" ht="18" x14ac:dyDescent="0.35">
      <c r="A64" s="3">
        <v>63</v>
      </c>
      <c r="B64" s="3" t="s">
        <v>161</v>
      </c>
      <c r="C64" s="3" t="s">
        <v>162</v>
      </c>
      <c r="D64" s="3" t="s">
        <v>36</v>
      </c>
      <c r="E64" s="3"/>
      <c r="F64" s="3"/>
      <c r="G64" s="3">
        <v>26</v>
      </c>
      <c r="H64" s="3">
        <v>21922</v>
      </c>
      <c r="I64" s="3">
        <v>7673</v>
      </c>
      <c r="J64" s="3">
        <v>8319</v>
      </c>
      <c r="K64" s="3">
        <v>0</v>
      </c>
      <c r="L64" s="3">
        <v>500</v>
      </c>
      <c r="M64" s="3">
        <v>0</v>
      </c>
      <c r="N64" s="3">
        <v>38414</v>
      </c>
      <c r="O64" s="3">
        <v>1800</v>
      </c>
      <c r="P64" s="3">
        <v>0</v>
      </c>
      <c r="Q64" s="3">
        <v>208</v>
      </c>
      <c r="R64" s="3">
        <v>0</v>
      </c>
      <c r="S64" s="3">
        <v>0</v>
      </c>
      <c r="T64" s="3">
        <v>2033</v>
      </c>
      <c r="U64" s="3">
        <v>36381</v>
      </c>
      <c r="V64" s="3">
        <v>36614</v>
      </c>
      <c r="W64" s="4">
        <f>U64-V64</f>
        <v>-233</v>
      </c>
      <c r="X64" s="3">
        <v>1800</v>
      </c>
      <c r="Y64" s="3">
        <v>0</v>
      </c>
      <c r="Z64" s="3">
        <v>1054</v>
      </c>
      <c r="AA64" s="3">
        <v>41268</v>
      </c>
    </row>
    <row r="65" spans="1:27" ht="18" x14ac:dyDescent="0.35">
      <c r="A65" s="3">
        <v>64</v>
      </c>
      <c r="B65" s="3" t="s">
        <v>163</v>
      </c>
      <c r="C65" s="3" t="s">
        <v>164</v>
      </c>
      <c r="D65" s="3" t="s">
        <v>33</v>
      </c>
      <c r="E65" s="3"/>
      <c r="F65" s="3"/>
      <c r="G65" s="3">
        <v>26</v>
      </c>
      <c r="H65" s="3">
        <v>44847</v>
      </c>
      <c r="I65" s="3">
        <v>15697</v>
      </c>
      <c r="J65" s="3">
        <v>20209</v>
      </c>
      <c r="K65" s="3">
        <v>0</v>
      </c>
      <c r="L65" s="3">
        <v>500</v>
      </c>
      <c r="M65" s="3">
        <v>0</v>
      </c>
      <c r="N65" s="3">
        <v>81253</v>
      </c>
      <c r="O65" s="3">
        <v>1800</v>
      </c>
      <c r="P65" s="3">
        <v>0</v>
      </c>
      <c r="Q65" s="3">
        <v>200</v>
      </c>
      <c r="R65" s="3">
        <v>2837</v>
      </c>
      <c r="S65" s="3">
        <v>0</v>
      </c>
      <c r="T65" s="3">
        <v>4862</v>
      </c>
      <c r="U65" s="3">
        <v>76391</v>
      </c>
      <c r="V65" s="3">
        <v>79253</v>
      </c>
      <c r="W65" s="4">
        <f>U65-V65</f>
        <v>-2862</v>
      </c>
      <c r="X65" s="3">
        <v>1800</v>
      </c>
      <c r="Y65" s="3">
        <v>0</v>
      </c>
      <c r="Z65" s="3">
        <v>2157</v>
      </c>
      <c r="AA65" s="3">
        <v>85210</v>
      </c>
    </row>
    <row r="66" spans="1:27" ht="18" x14ac:dyDescent="0.35">
      <c r="A66" s="3">
        <v>65</v>
      </c>
      <c r="B66" s="3" t="s">
        <v>165</v>
      </c>
      <c r="C66" s="3" t="s">
        <v>166</v>
      </c>
      <c r="D66" s="3" t="s">
        <v>167</v>
      </c>
      <c r="E66" s="3"/>
      <c r="F66" s="3"/>
      <c r="G66" s="3">
        <v>21</v>
      </c>
      <c r="H66" s="3">
        <v>17854</v>
      </c>
      <c r="I66" s="3">
        <v>6249</v>
      </c>
      <c r="J66" s="3">
        <v>6718</v>
      </c>
      <c r="K66" s="3">
        <v>0</v>
      </c>
      <c r="L66" s="3">
        <v>417</v>
      </c>
      <c r="M66" s="3">
        <v>0</v>
      </c>
      <c r="N66" s="3">
        <v>31238</v>
      </c>
      <c r="O66" s="3">
        <v>1500</v>
      </c>
      <c r="P66" s="3">
        <v>0</v>
      </c>
      <c r="Q66" s="3">
        <v>200</v>
      </c>
      <c r="R66" s="3">
        <v>0</v>
      </c>
      <c r="S66" s="3">
        <v>0</v>
      </c>
      <c r="T66" s="3">
        <v>1725</v>
      </c>
      <c r="U66" s="3">
        <v>29513</v>
      </c>
      <c r="V66" s="3">
        <v>29238</v>
      </c>
      <c r="W66" s="4">
        <f>U66-V66</f>
        <v>275</v>
      </c>
      <c r="X66" s="3">
        <v>1500</v>
      </c>
      <c r="Y66" s="3">
        <v>0</v>
      </c>
      <c r="Z66" s="3">
        <v>1031</v>
      </c>
      <c r="AA66" s="3">
        <v>33769</v>
      </c>
    </row>
    <row r="67" spans="1:27" ht="18" x14ac:dyDescent="0.35">
      <c r="A67" s="3">
        <v>66</v>
      </c>
      <c r="B67" s="3" t="s">
        <v>168</v>
      </c>
      <c r="C67" s="3" t="s">
        <v>169</v>
      </c>
      <c r="D67" s="3" t="s">
        <v>33</v>
      </c>
      <c r="E67" s="3"/>
      <c r="F67" s="3"/>
      <c r="G67" s="3">
        <v>26</v>
      </c>
      <c r="H67" s="3">
        <v>22936</v>
      </c>
      <c r="I67" s="3">
        <v>8028</v>
      </c>
      <c r="J67" s="3">
        <v>8845</v>
      </c>
      <c r="K67" s="3">
        <v>0</v>
      </c>
      <c r="L67" s="3">
        <v>500</v>
      </c>
      <c r="M67" s="3">
        <v>0</v>
      </c>
      <c r="N67" s="3">
        <v>40309</v>
      </c>
      <c r="O67" s="3">
        <v>1800</v>
      </c>
      <c r="P67" s="3">
        <v>0</v>
      </c>
      <c r="Q67" s="3">
        <v>200</v>
      </c>
      <c r="R67" s="3">
        <v>0</v>
      </c>
      <c r="S67" s="3">
        <v>0</v>
      </c>
      <c r="T67" s="3">
        <v>2025</v>
      </c>
      <c r="U67" s="3">
        <v>38284</v>
      </c>
      <c r="V67" s="3">
        <v>38309</v>
      </c>
      <c r="W67" s="4">
        <f>U67-V67</f>
        <v>-25</v>
      </c>
      <c r="X67" s="3">
        <v>1800</v>
      </c>
      <c r="Y67" s="3">
        <v>0</v>
      </c>
      <c r="Z67" s="3">
        <v>1103</v>
      </c>
      <c r="AA67" s="3">
        <v>43212</v>
      </c>
    </row>
    <row r="68" spans="1:27" ht="18" x14ac:dyDescent="0.35">
      <c r="A68" s="3">
        <v>67</v>
      </c>
      <c r="B68" s="3" t="s">
        <v>170</v>
      </c>
      <c r="C68" s="3" t="s">
        <v>171</v>
      </c>
      <c r="D68" s="3" t="s">
        <v>36</v>
      </c>
      <c r="E68" s="3"/>
      <c r="F68" s="3"/>
      <c r="G68" s="3">
        <v>26</v>
      </c>
      <c r="H68" s="3">
        <v>16578</v>
      </c>
      <c r="I68" s="3">
        <v>5802</v>
      </c>
      <c r="J68" s="3">
        <v>5548</v>
      </c>
      <c r="K68" s="3">
        <v>0</v>
      </c>
      <c r="L68" s="3">
        <v>500</v>
      </c>
      <c r="M68" s="3">
        <v>0</v>
      </c>
      <c r="N68" s="3">
        <v>28428</v>
      </c>
      <c r="O68" s="3">
        <v>1800</v>
      </c>
      <c r="P68" s="3">
        <v>0</v>
      </c>
      <c r="Q68" s="3">
        <v>208</v>
      </c>
      <c r="R68" s="3">
        <v>0</v>
      </c>
      <c r="S68" s="3">
        <v>0</v>
      </c>
      <c r="T68" s="3">
        <v>2033</v>
      </c>
      <c r="U68" s="3">
        <v>26395</v>
      </c>
      <c r="V68" s="3">
        <v>26628</v>
      </c>
      <c r="W68" s="4">
        <f>U68-V68</f>
        <v>-233</v>
      </c>
      <c r="X68" s="3">
        <v>1800</v>
      </c>
      <c r="Y68" s="3">
        <v>0</v>
      </c>
      <c r="Z68" s="3">
        <v>797</v>
      </c>
      <c r="AA68" s="3">
        <v>31025</v>
      </c>
    </row>
    <row r="69" spans="1:27" ht="18" x14ac:dyDescent="0.35">
      <c r="A69" s="3">
        <v>68</v>
      </c>
      <c r="B69" s="3" t="s">
        <v>172</v>
      </c>
      <c r="C69" s="3" t="s">
        <v>173</v>
      </c>
      <c r="D69" s="3" t="s">
        <v>27</v>
      </c>
      <c r="E69" s="3"/>
      <c r="F69" s="3"/>
      <c r="G69" s="3">
        <v>23</v>
      </c>
      <c r="H69" s="3">
        <v>66193</v>
      </c>
      <c r="I69" s="3">
        <v>23168</v>
      </c>
      <c r="J69" s="3">
        <v>31585</v>
      </c>
      <c r="K69" s="3">
        <v>0</v>
      </c>
      <c r="L69" s="3">
        <v>450</v>
      </c>
      <c r="M69" s="3">
        <v>0</v>
      </c>
      <c r="N69" s="3">
        <v>121396</v>
      </c>
      <c r="O69" s="3">
        <v>1620</v>
      </c>
      <c r="P69" s="3">
        <v>0</v>
      </c>
      <c r="Q69" s="3">
        <v>0</v>
      </c>
      <c r="R69" s="3">
        <v>10546</v>
      </c>
      <c r="S69" s="3">
        <v>0</v>
      </c>
      <c r="T69" s="3">
        <v>12191</v>
      </c>
      <c r="U69" s="3">
        <v>109205</v>
      </c>
      <c r="V69" s="3">
        <v>109260</v>
      </c>
      <c r="W69" s="4">
        <f>U69-V69</f>
        <v>-55</v>
      </c>
      <c r="X69" s="3">
        <v>1620</v>
      </c>
      <c r="Y69" s="3">
        <v>0</v>
      </c>
      <c r="Z69" s="3">
        <v>3538</v>
      </c>
      <c r="AA69" s="3">
        <v>126554</v>
      </c>
    </row>
    <row r="70" spans="1:27" ht="18" x14ac:dyDescent="0.35">
      <c r="A70" s="3">
        <v>69</v>
      </c>
      <c r="B70" s="3" t="s">
        <v>174</v>
      </c>
      <c r="C70" s="3" t="s">
        <v>175</v>
      </c>
      <c r="D70" s="3" t="s">
        <v>36</v>
      </c>
      <c r="E70" s="3"/>
      <c r="F70" s="3"/>
      <c r="G70" s="3">
        <v>30</v>
      </c>
      <c r="H70" s="3">
        <v>21114</v>
      </c>
      <c r="I70" s="3">
        <v>7390</v>
      </c>
      <c r="J70" s="3">
        <v>7900</v>
      </c>
      <c r="K70" s="3">
        <v>0</v>
      </c>
      <c r="L70" s="3">
        <v>500</v>
      </c>
      <c r="M70" s="3">
        <v>0</v>
      </c>
      <c r="N70" s="3">
        <v>36904</v>
      </c>
      <c r="O70" s="3">
        <v>1020</v>
      </c>
      <c r="P70" s="3">
        <v>0</v>
      </c>
      <c r="Q70" s="3">
        <v>0</v>
      </c>
      <c r="R70" s="3">
        <v>0</v>
      </c>
      <c r="S70" s="3">
        <v>0</v>
      </c>
      <c r="T70" s="3">
        <v>1045</v>
      </c>
      <c r="U70" s="3">
        <v>35859</v>
      </c>
      <c r="V70" s="3">
        <v>19113</v>
      </c>
      <c r="W70" s="4">
        <f>U70-V70</f>
        <v>16746</v>
      </c>
      <c r="X70" s="3">
        <v>1020</v>
      </c>
      <c r="Y70" s="3">
        <v>0</v>
      </c>
      <c r="Z70" s="3">
        <v>1016</v>
      </c>
      <c r="AA70" s="3">
        <v>38940</v>
      </c>
    </row>
    <row r="71" spans="1:27" ht="18" x14ac:dyDescent="0.35">
      <c r="A71" s="3">
        <v>70</v>
      </c>
      <c r="B71" s="3" t="s">
        <v>176</v>
      </c>
      <c r="C71" s="3" t="s">
        <v>177</v>
      </c>
      <c r="D71" s="3" t="s">
        <v>36</v>
      </c>
      <c r="E71" s="3"/>
      <c r="F71" s="3"/>
      <c r="G71" s="3">
        <v>25</v>
      </c>
      <c r="H71" s="3">
        <v>16025</v>
      </c>
      <c r="I71" s="3">
        <v>5609</v>
      </c>
      <c r="J71" s="3">
        <v>5363</v>
      </c>
      <c r="K71" s="3">
        <v>0</v>
      </c>
      <c r="L71" s="3">
        <v>483</v>
      </c>
      <c r="M71" s="3">
        <v>0</v>
      </c>
      <c r="N71" s="3">
        <v>27480</v>
      </c>
      <c r="O71" s="3">
        <v>1740</v>
      </c>
      <c r="P71" s="3">
        <v>0</v>
      </c>
      <c r="Q71" s="3">
        <v>0</v>
      </c>
      <c r="R71" s="3">
        <v>0</v>
      </c>
      <c r="S71" s="3">
        <v>0</v>
      </c>
      <c r="T71" s="3">
        <v>1765</v>
      </c>
      <c r="U71" s="3">
        <v>25715</v>
      </c>
      <c r="V71" s="3">
        <v>25680</v>
      </c>
      <c r="W71" s="4">
        <f>U71-V71</f>
        <v>35</v>
      </c>
      <c r="X71" s="3">
        <v>1740</v>
      </c>
      <c r="Y71" s="3">
        <v>0</v>
      </c>
      <c r="Z71" s="3">
        <v>797</v>
      </c>
      <c r="AA71" s="3">
        <v>30017</v>
      </c>
    </row>
    <row r="72" spans="1:27" ht="18" x14ac:dyDescent="0.35">
      <c r="A72" s="3">
        <v>71</v>
      </c>
      <c r="B72" s="3" t="s">
        <v>178</v>
      </c>
      <c r="C72" s="3" t="s">
        <v>179</v>
      </c>
      <c r="D72" s="3" t="s">
        <v>160</v>
      </c>
      <c r="E72" s="3"/>
      <c r="F72" s="3"/>
      <c r="G72" s="3">
        <v>26</v>
      </c>
      <c r="H72" s="3">
        <v>18751</v>
      </c>
      <c r="I72" s="3">
        <v>6563</v>
      </c>
      <c r="J72" s="3">
        <v>6675</v>
      </c>
      <c r="K72" s="3">
        <v>0</v>
      </c>
      <c r="L72" s="3">
        <v>500</v>
      </c>
      <c r="M72" s="3">
        <v>0</v>
      </c>
      <c r="N72" s="3">
        <v>32489</v>
      </c>
      <c r="O72" s="3">
        <v>1800</v>
      </c>
      <c r="P72" s="3">
        <v>0</v>
      </c>
      <c r="Q72" s="3">
        <v>200</v>
      </c>
      <c r="R72" s="3">
        <v>0</v>
      </c>
      <c r="S72" s="3">
        <v>0</v>
      </c>
      <c r="T72" s="3">
        <v>2025</v>
      </c>
      <c r="U72" s="3">
        <v>30464</v>
      </c>
      <c r="V72" s="3">
        <v>30539</v>
      </c>
      <c r="W72" s="4">
        <f>U72-V72</f>
        <v>-75</v>
      </c>
      <c r="X72" s="3">
        <v>1800</v>
      </c>
      <c r="Y72" s="3">
        <v>0</v>
      </c>
      <c r="Z72" s="3">
        <v>902</v>
      </c>
      <c r="AA72" s="3">
        <v>35191</v>
      </c>
    </row>
    <row r="73" spans="1:27" ht="18" x14ac:dyDescent="0.35">
      <c r="A73" s="3">
        <v>72</v>
      </c>
      <c r="B73" s="3" t="s">
        <v>180</v>
      </c>
      <c r="C73" s="3" t="s">
        <v>181</v>
      </c>
      <c r="D73" s="3" t="s">
        <v>30</v>
      </c>
      <c r="E73" s="3"/>
      <c r="F73" s="3"/>
      <c r="G73" s="3">
        <v>24</v>
      </c>
      <c r="H73" s="3">
        <v>17192</v>
      </c>
      <c r="I73" s="3">
        <v>6017</v>
      </c>
      <c r="J73" s="3">
        <v>6069</v>
      </c>
      <c r="K73" s="3">
        <v>0</v>
      </c>
      <c r="L73" s="3">
        <v>467</v>
      </c>
      <c r="M73" s="3">
        <v>0</v>
      </c>
      <c r="N73" s="3">
        <v>29745</v>
      </c>
      <c r="O73" s="3">
        <v>1680</v>
      </c>
      <c r="P73" s="3">
        <v>0</v>
      </c>
      <c r="Q73" s="3">
        <v>200</v>
      </c>
      <c r="R73" s="3">
        <v>0</v>
      </c>
      <c r="S73" s="3">
        <v>0</v>
      </c>
      <c r="T73" s="3">
        <v>1905</v>
      </c>
      <c r="U73" s="3">
        <v>27840</v>
      </c>
      <c r="V73" s="3">
        <v>27795</v>
      </c>
      <c r="W73" s="4">
        <f>U73-V73</f>
        <v>45</v>
      </c>
      <c r="X73" s="3">
        <v>1680</v>
      </c>
      <c r="Y73" s="3">
        <v>0</v>
      </c>
      <c r="Z73" s="3">
        <v>886</v>
      </c>
      <c r="AA73" s="3">
        <v>32311</v>
      </c>
    </row>
    <row r="74" spans="1:27" ht="18" x14ac:dyDescent="0.35">
      <c r="A74" s="3">
        <v>73</v>
      </c>
      <c r="B74" s="3" t="s">
        <v>182</v>
      </c>
      <c r="C74" s="3" t="s">
        <v>183</v>
      </c>
      <c r="D74" s="3" t="s">
        <v>36</v>
      </c>
      <c r="E74" s="3"/>
      <c r="F74" s="3"/>
      <c r="G74" s="3">
        <v>1</v>
      </c>
      <c r="H74" s="3">
        <v>2701</v>
      </c>
      <c r="I74" s="3">
        <v>946</v>
      </c>
      <c r="J74" s="3">
        <v>893</v>
      </c>
      <c r="K74" s="3">
        <v>0</v>
      </c>
      <c r="L74" s="3">
        <v>83</v>
      </c>
      <c r="M74" s="3">
        <v>0</v>
      </c>
      <c r="N74" s="3">
        <v>4623</v>
      </c>
      <c r="O74" s="3">
        <v>300</v>
      </c>
      <c r="P74" s="3">
        <v>35</v>
      </c>
      <c r="Q74" s="3">
        <v>208</v>
      </c>
      <c r="R74" s="3">
        <v>0</v>
      </c>
      <c r="S74" s="3">
        <v>0</v>
      </c>
      <c r="T74" s="3">
        <v>568</v>
      </c>
      <c r="U74" s="3">
        <v>4055</v>
      </c>
      <c r="V74" s="3">
        <v>2823</v>
      </c>
      <c r="W74" s="4">
        <f>U74-V74</f>
        <v>1232</v>
      </c>
      <c r="X74" s="3">
        <v>300</v>
      </c>
      <c r="Y74" s="3">
        <v>150</v>
      </c>
      <c r="Z74" s="3">
        <v>780</v>
      </c>
      <c r="AA74" s="3">
        <v>5703</v>
      </c>
    </row>
    <row r="75" spans="1:27" ht="18" x14ac:dyDescent="0.35">
      <c r="A75" s="3">
        <v>74</v>
      </c>
      <c r="B75" s="3" t="s">
        <v>184</v>
      </c>
      <c r="C75" s="3" t="s">
        <v>185</v>
      </c>
      <c r="D75" s="3" t="s">
        <v>106</v>
      </c>
      <c r="E75" s="3"/>
      <c r="F75" s="3"/>
      <c r="G75" s="3">
        <v>26</v>
      </c>
      <c r="H75" s="3">
        <v>12600</v>
      </c>
      <c r="I75" s="3">
        <v>4410</v>
      </c>
      <c r="J75" s="3">
        <v>4734</v>
      </c>
      <c r="K75" s="3">
        <v>0</v>
      </c>
      <c r="L75" s="3">
        <v>0</v>
      </c>
      <c r="M75" s="3">
        <v>0</v>
      </c>
      <c r="N75" s="3">
        <v>21744</v>
      </c>
      <c r="O75" s="3">
        <v>1800</v>
      </c>
      <c r="P75" s="3">
        <v>0</v>
      </c>
      <c r="Q75" s="3">
        <v>200</v>
      </c>
      <c r="R75" s="3">
        <v>0</v>
      </c>
      <c r="S75" s="3">
        <v>0</v>
      </c>
      <c r="T75" s="3">
        <v>2025</v>
      </c>
      <c r="U75" s="3">
        <v>19719</v>
      </c>
      <c r="V75" s="3">
        <v>19944</v>
      </c>
      <c r="W75" s="4">
        <f>U75-V75</f>
        <v>-225</v>
      </c>
      <c r="X75" s="3">
        <v>1800</v>
      </c>
      <c r="Y75" s="3">
        <v>0</v>
      </c>
      <c r="Z75" s="3">
        <v>606</v>
      </c>
      <c r="AA75" s="3">
        <v>24150</v>
      </c>
    </row>
    <row r="76" spans="1:27" ht="18" x14ac:dyDescent="0.35">
      <c r="A76" s="3">
        <v>75</v>
      </c>
      <c r="B76" s="3" t="s">
        <v>186</v>
      </c>
      <c r="C76" s="3" t="s">
        <v>187</v>
      </c>
      <c r="D76" s="3" t="s">
        <v>106</v>
      </c>
      <c r="E76" s="3"/>
      <c r="F76" s="3"/>
      <c r="G76" s="3">
        <v>26</v>
      </c>
      <c r="H76" s="3">
        <v>12772</v>
      </c>
      <c r="I76" s="3">
        <v>4470</v>
      </c>
      <c r="J76" s="3">
        <v>4324</v>
      </c>
      <c r="K76" s="3">
        <v>0</v>
      </c>
      <c r="L76" s="3">
        <v>500</v>
      </c>
      <c r="M76" s="3">
        <v>0</v>
      </c>
      <c r="N76" s="3">
        <v>22066</v>
      </c>
      <c r="O76" s="3">
        <v>1800</v>
      </c>
      <c r="P76" s="3">
        <v>0</v>
      </c>
      <c r="Q76" s="3">
        <v>200</v>
      </c>
      <c r="R76" s="3">
        <v>0</v>
      </c>
      <c r="S76" s="3">
        <v>0</v>
      </c>
      <c r="T76" s="3">
        <v>2025</v>
      </c>
      <c r="U76" s="3">
        <v>20041</v>
      </c>
      <c r="V76" s="3">
        <v>20266</v>
      </c>
      <c r="W76" s="4">
        <f>U76-V76</f>
        <v>-225</v>
      </c>
      <c r="X76" s="3">
        <v>1800</v>
      </c>
      <c r="Y76" s="3">
        <v>0</v>
      </c>
      <c r="Z76" s="3">
        <v>614</v>
      </c>
      <c r="AA76" s="3">
        <v>24480</v>
      </c>
    </row>
    <row r="77" spans="1:27" ht="18" x14ac:dyDescent="0.35">
      <c r="A77" s="3">
        <v>76</v>
      </c>
      <c r="B77" s="3" t="s">
        <v>188</v>
      </c>
      <c r="C77" s="3" t="s">
        <v>189</v>
      </c>
      <c r="D77" s="3" t="s">
        <v>106</v>
      </c>
      <c r="E77" s="3"/>
      <c r="F77" s="3"/>
      <c r="G77" s="3">
        <v>26</v>
      </c>
      <c r="H77" s="3">
        <v>12600</v>
      </c>
      <c r="I77" s="3">
        <v>4410</v>
      </c>
      <c r="J77" s="3">
        <v>4734</v>
      </c>
      <c r="K77" s="3">
        <v>0</v>
      </c>
      <c r="L77" s="3">
        <v>0</v>
      </c>
      <c r="M77" s="3">
        <v>0</v>
      </c>
      <c r="N77" s="3">
        <v>21744</v>
      </c>
      <c r="O77" s="3">
        <v>1800</v>
      </c>
      <c r="P77" s="3">
        <v>0</v>
      </c>
      <c r="Q77" s="3">
        <v>200</v>
      </c>
      <c r="R77" s="3">
        <v>0</v>
      </c>
      <c r="S77" s="3">
        <v>0</v>
      </c>
      <c r="T77" s="3">
        <v>2025</v>
      </c>
      <c r="U77" s="3">
        <v>19719</v>
      </c>
      <c r="V77" s="3">
        <v>19944</v>
      </c>
      <c r="W77" s="4">
        <f>U77-V77</f>
        <v>-225</v>
      </c>
      <c r="X77" s="3">
        <v>1800</v>
      </c>
      <c r="Y77" s="3">
        <v>0</v>
      </c>
      <c r="Z77" s="3">
        <v>606</v>
      </c>
      <c r="AA77" s="3">
        <v>24150</v>
      </c>
    </row>
    <row r="78" spans="1:27" ht="18" x14ac:dyDescent="0.35">
      <c r="A78" s="3">
        <v>77</v>
      </c>
      <c r="B78" s="3" t="s">
        <v>190</v>
      </c>
      <c r="C78" s="3" t="s">
        <v>191</v>
      </c>
      <c r="D78" s="3" t="s">
        <v>167</v>
      </c>
      <c r="E78" s="3"/>
      <c r="F78" s="3"/>
      <c r="G78" s="3">
        <v>26</v>
      </c>
      <c r="H78" s="3">
        <v>14105</v>
      </c>
      <c r="I78" s="3">
        <v>4937</v>
      </c>
      <c r="J78" s="3">
        <v>4265</v>
      </c>
      <c r="K78" s="3">
        <v>0</v>
      </c>
      <c r="L78" s="3">
        <v>500</v>
      </c>
      <c r="M78" s="3">
        <v>0</v>
      </c>
      <c r="N78" s="3">
        <v>23807</v>
      </c>
      <c r="O78" s="3">
        <v>1800</v>
      </c>
      <c r="P78" s="3">
        <v>0</v>
      </c>
      <c r="Q78" s="3">
        <v>200</v>
      </c>
      <c r="R78" s="3">
        <v>0</v>
      </c>
      <c r="S78" s="3">
        <v>0</v>
      </c>
      <c r="T78" s="3">
        <v>2025</v>
      </c>
      <c r="U78" s="3">
        <v>21782</v>
      </c>
      <c r="V78" s="3">
        <v>21877</v>
      </c>
      <c r="W78" s="4">
        <f>U78-V78</f>
        <v>-95</v>
      </c>
      <c r="X78" s="3">
        <v>1800</v>
      </c>
      <c r="Y78" s="3">
        <v>0</v>
      </c>
      <c r="Z78" s="3">
        <v>678</v>
      </c>
      <c r="AA78" s="3">
        <v>26285</v>
      </c>
    </row>
    <row r="79" spans="1:27" ht="18" x14ac:dyDescent="0.35">
      <c r="A79" s="3">
        <v>78</v>
      </c>
      <c r="B79" s="3" t="s">
        <v>192</v>
      </c>
      <c r="C79" s="3" t="s">
        <v>193</v>
      </c>
      <c r="D79" s="3" t="s">
        <v>36</v>
      </c>
      <c r="E79" s="3"/>
      <c r="F79" s="3"/>
      <c r="G79" s="3">
        <v>24</v>
      </c>
      <c r="H79" s="3">
        <v>14437</v>
      </c>
      <c r="I79" s="3">
        <v>5053</v>
      </c>
      <c r="J79" s="3">
        <v>4641</v>
      </c>
      <c r="K79" s="3">
        <v>0</v>
      </c>
      <c r="L79" s="3">
        <v>467</v>
      </c>
      <c r="M79" s="3">
        <v>0</v>
      </c>
      <c r="N79" s="3">
        <v>24597</v>
      </c>
      <c r="O79" s="3">
        <v>1680</v>
      </c>
      <c r="P79" s="3">
        <v>0</v>
      </c>
      <c r="Q79" s="3">
        <v>208</v>
      </c>
      <c r="R79" s="3">
        <v>0</v>
      </c>
      <c r="S79" s="3">
        <v>0</v>
      </c>
      <c r="T79" s="3">
        <v>1913</v>
      </c>
      <c r="U79" s="3">
        <v>22684</v>
      </c>
      <c r="V79" s="3">
        <v>22797</v>
      </c>
      <c r="W79" s="4">
        <f>U79-V79</f>
        <v>-113</v>
      </c>
      <c r="X79" s="3">
        <v>1680</v>
      </c>
      <c r="Y79" s="3">
        <v>0</v>
      </c>
      <c r="Z79" s="3">
        <v>744</v>
      </c>
      <c r="AA79" s="3">
        <v>27021</v>
      </c>
    </row>
    <row r="80" spans="1:27" ht="18" x14ac:dyDescent="0.35">
      <c r="A80" s="3">
        <v>79</v>
      </c>
      <c r="B80" s="3" t="s">
        <v>194</v>
      </c>
      <c r="C80" s="3" t="s">
        <v>195</v>
      </c>
      <c r="D80" s="3" t="s">
        <v>30</v>
      </c>
      <c r="E80" s="3"/>
      <c r="F80" s="3"/>
      <c r="G80" s="3">
        <v>26</v>
      </c>
      <c r="H80" s="3">
        <v>53469</v>
      </c>
      <c r="I80" s="3">
        <v>18714</v>
      </c>
      <c r="J80" s="3">
        <v>26980</v>
      </c>
      <c r="K80" s="3">
        <v>0</v>
      </c>
      <c r="L80" s="3">
        <v>0</v>
      </c>
      <c r="M80" s="3">
        <v>0</v>
      </c>
      <c r="N80" s="3">
        <v>99163</v>
      </c>
      <c r="O80" s="3">
        <v>1800</v>
      </c>
      <c r="P80" s="3">
        <v>0</v>
      </c>
      <c r="Q80" s="3">
        <v>200</v>
      </c>
      <c r="R80" s="3">
        <v>4869</v>
      </c>
      <c r="S80" s="3">
        <v>0</v>
      </c>
      <c r="T80" s="3">
        <v>6894</v>
      </c>
      <c r="U80" s="3">
        <v>92269</v>
      </c>
      <c r="V80" s="3">
        <v>98963</v>
      </c>
      <c r="W80" s="4">
        <f>U80-V80</f>
        <v>-6694</v>
      </c>
      <c r="X80" s="3">
        <v>1800</v>
      </c>
      <c r="Y80" s="3">
        <v>0</v>
      </c>
      <c r="Z80" s="3">
        <v>2572</v>
      </c>
      <c r="AA80" s="3">
        <v>103535</v>
      </c>
    </row>
    <row r="81" spans="1:27" ht="18" x14ac:dyDescent="0.35">
      <c r="A81" s="3">
        <v>80</v>
      </c>
      <c r="B81" s="3" t="s">
        <v>196</v>
      </c>
      <c r="C81" s="3" t="s">
        <v>197</v>
      </c>
      <c r="D81" s="3" t="s">
        <v>33</v>
      </c>
      <c r="E81" s="3"/>
      <c r="F81" s="3"/>
      <c r="G81" s="3">
        <v>26</v>
      </c>
      <c r="H81" s="3">
        <v>75679</v>
      </c>
      <c r="I81" s="3">
        <v>26488</v>
      </c>
      <c r="J81" s="3">
        <v>36199</v>
      </c>
      <c r="K81" s="3">
        <v>0</v>
      </c>
      <c r="L81" s="3">
        <v>500</v>
      </c>
      <c r="M81" s="3">
        <v>0</v>
      </c>
      <c r="N81" s="3">
        <v>138866</v>
      </c>
      <c r="O81" s="3">
        <v>1800</v>
      </c>
      <c r="P81" s="3">
        <v>0</v>
      </c>
      <c r="Q81" s="3">
        <v>200</v>
      </c>
      <c r="R81" s="3">
        <v>11223</v>
      </c>
      <c r="S81" s="3">
        <v>0</v>
      </c>
      <c r="T81" s="3">
        <v>13248</v>
      </c>
      <c r="U81" s="3">
        <v>125618</v>
      </c>
      <c r="V81" s="3">
        <v>125642</v>
      </c>
      <c r="W81" s="4">
        <f>U81-V81</f>
        <v>-24</v>
      </c>
      <c r="X81" s="3">
        <v>1800</v>
      </c>
      <c r="Y81" s="3">
        <v>0</v>
      </c>
      <c r="Z81" s="3">
        <v>3640</v>
      </c>
      <c r="AA81" s="3">
        <v>144306</v>
      </c>
    </row>
    <row r="82" spans="1:27" ht="18" x14ac:dyDescent="0.35">
      <c r="A82" s="3">
        <v>81</v>
      </c>
      <c r="B82" s="3" t="s">
        <v>198</v>
      </c>
      <c r="C82" s="3" t="s">
        <v>199</v>
      </c>
      <c r="D82" s="3" t="s">
        <v>33</v>
      </c>
      <c r="E82" s="3"/>
      <c r="F82" s="3"/>
      <c r="G82" s="3">
        <v>26</v>
      </c>
      <c r="H82" s="3">
        <v>14680</v>
      </c>
      <c r="I82" s="3">
        <v>5138</v>
      </c>
      <c r="J82" s="3">
        <v>5313</v>
      </c>
      <c r="K82" s="3">
        <v>0</v>
      </c>
      <c r="L82" s="3">
        <v>500</v>
      </c>
      <c r="M82" s="3">
        <v>0</v>
      </c>
      <c r="N82" s="3">
        <v>25631</v>
      </c>
      <c r="O82" s="3">
        <v>1800</v>
      </c>
      <c r="P82" s="3">
        <v>0</v>
      </c>
      <c r="Q82" s="3">
        <v>200</v>
      </c>
      <c r="R82" s="3">
        <v>0</v>
      </c>
      <c r="S82" s="3">
        <v>0</v>
      </c>
      <c r="T82" s="3">
        <v>2025</v>
      </c>
      <c r="U82" s="3">
        <v>23606</v>
      </c>
      <c r="V82" s="3">
        <v>23681</v>
      </c>
      <c r="W82" s="4">
        <f>U82-V82</f>
        <v>-75</v>
      </c>
      <c r="X82" s="3">
        <v>1800</v>
      </c>
      <c r="Y82" s="3">
        <v>0</v>
      </c>
      <c r="Z82" s="3">
        <v>706</v>
      </c>
      <c r="AA82" s="3">
        <v>28137</v>
      </c>
    </row>
    <row r="83" spans="1:27" ht="18" x14ac:dyDescent="0.35">
      <c r="A83" s="3">
        <v>82</v>
      </c>
      <c r="B83" s="3" t="s">
        <v>200</v>
      </c>
      <c r="C83" s="3" t="s">
        <v>201</v>
      </c>
      <c r="D83" s="3" t="s">
        <v>30</v>
      </c>
      <c r="E83" s="3"/>
      <c r="F83" s="3"/>
      <c r="G83" s="3">
        <v>26</v>
      </c>
      <c r="H83" s="3">
        <v>12579</v>
      </c>
      <c r="I83" s="3">
        <v>4403</v>
      </c>
      <c r="J83" s="3">
        <v>4224</v>
      </c>
      <c r="K83" s="3">
        <v>0</v>
      </c>
      <c r="L83" s="3">
        <v>500</v>
      </c>
      <c r="M83" s="3">
        <v>0</v>
      </c>
      <c r="N83" s="3">
        <v>21706</v>
      </c>
      <c r="O83" s="3">
        <v>1800</v>
      </c>
      <c r="P83" s="3">
        <v>0</v>
      </c>
      <c r="Q83" s="3">
        <v>200</v>
      </c>
      <c r="R83" s="3">
        <v>0</v>
      </c>
      <c r="S83" s="3">
        <v>0</v>
      </c>
      <c r="T83" s="3">
        <v>2025</v>
      </c>
      <c r="U83" s="3">
        <v>19681</v>
      </c>
      <c r="V83" s="3">
        <v>19776</v>
      </c>
      <c r="W83" s="4">
        <f>U83-V83</f>
        <v>-95</v>
      </c>
      <c r="X83" s="3">
        <v>1800</v>
      </c>
      <c r="Y83" s="3">
        <v>0</v>
      </c>
      <c r="Z83" s="3">
        <v>605</v>
      </c>
      <c r="AA83" s="3">
        <v>24111</v>
      </c>
    </row>
    <row r="84" spans="1:27" ht="18" x14ac:dyDescent="0.35">
      <c r="A84" s="3">
        <v>83</v>
      </c>
      <c r="B84" s="3" t="s">
        <v>202</v>
      </c>
      <c r="C84" s="3" t="s">
        <v>203</v>
      </c>
      <c r="D84" s="3" t="s">
        <v>33</v>
      </c>
      <c r="E84" s="3"/>
      <c r="F84" s="3"/>
      <c r="G84" s="3">
        <v>26</v>
      </c>
      <c r="H84" s="3">
        <v>69389</v>
      </c>
      <c r="I84" s="3">
        <v>24286</v>
      </c>
      <c r="J84" s="3">
        <v>32937</v>
      </c>
      <c r="K84" s="3">
        <v>0</v>
      </c>
      <c r="L84" s="3">
        <v>500</v>
      </c>
      <c r="M84" s="3">
        <v>0</v>
      </c>
      <c r="N84" s="3">
        <v>127112</v>
      </c>
      <c r="O84" s="3">
        <v>1800</v>
      </c>
      <c r="P84" s="3">
        <v>0</v>
      </c>
      <c r="Q84" s="3">
        <v>200</v>
      </c>
      <c r="R84" s="3">
        <v>9223</v>
      </c>
      <c r="S84" s="3">
        <v>0</v>
      </c>
      <c r="T84" s="3">
        <v>11248</v>
      </c>
      <c r="U84" s="3">
        <v>115864</v>
      </c>
      <c r="V84" s="3">
        <v>115888</v>
      </c>
      <c r="W84" s="4">
        <f>U84-V84</f>
        <v>-24</v>
      </c>
      <c r="X84" s="3">
        <v>1800</v>
      </c>
      <c r="Y84" s="3">
        <v>0</v>
      </c>
      <c r="Z84" s="3">
        <v>3338</v>
      </c>
      <c r="AA84" s="3">
        <v>132250</v>
      </c>
    </row>
    <row r="85" spans="1:27" ht="18" x14ac:dyDescent="0.35">
      <c r="A85" s="3">
        <v>84</v>
      </c>
      <c r="B85" s="3" t="s">
        <v>204</v>
      </c>
      <c r="C85" s="3" t="s">
        <v>205</v>
      </c>
      <c r="D85" s="3" t="s">
        <v>30</v>
      </c>
      <c r="E85" s="3"/>
      <c r="F85" s="3"/>
      <c r="G85" s="3">
        <v>26</v>
      </c>
      <c r="H85" s="3">
        <v>21895</v>
      </c>
      <c r="I85" s="3">
        <v>7663</v>
      </c>
      <c r="J85" s="3">
        <v>8305</v>
      </c>
      <c r="K85" s="3">
        <v>0</v>
      </c>
      <c r="L85" s="3">
        <v>500</v>
      </c>
      <c r="M85" s="3">
        <v>0</v>
      </c>
      <c r="N85" s="3">
        <v>38363</v>
      </c>
      <c r="O85" s="3">
        <v>1800</v>
      </c>
      <c r="P85" s="3">
        <v>0</v>
      </c>
      <c r="Q85" s="3">
        <v>200</v>
      </c>
      <c r="R85" s="3">
        <v>0</v>
      </c>
      <c r="S85" s="3">
        <v>0</v>
      </c>
      <c r="T85" s="3">
        <v>2025</v>
      </c>
      <c r="U85" s="3">
        <v>36338</v>
      </c>
      <c r="V85" s="3">
        <v>36363</v>
      </c>
      <c r="W85" s="4">
        <f>U85-V85</f>
        <v>-25</v>
      </c>
      <c r="X85" s="3">
        <v>1800</v>
      </c>
      <c r="Y85" s="3">
        <v>0</v>
      </c>
      <c r="Z85" s="3">
        <v>1053</v>
      </c>
      <c r="AA85" s="3">
        <v>41216</v>
      </c>
    </row>
    <row r="86" spans="1:27" ht="18" x14ac:dyDescent="0.35">
      <c r="A86" s="3">
        <v>85</v>
      </c>
      <c r="B86" s="3" t="s">
        <v>206</v>
      </c>
      <c r="C86" s="3" t="s">
        <v>207</v>
      </c>
      <c r="D86" s="3" t="s">
        <v>30</v>
      </c>
      <c r="E86" s="3"/>
      <c r="F86" s="3"/>
      <c r="G86" s="3">
        <v>26</v>
      </c>
      <c r="H86" s="3">
        <v>12589</v>
      </c>
      <c r="I86" s="3">
        <v>4406</v>
      </c>
      <c r="J86" s="3">
        <v>4229</v>
      </c>
      <c r="K86" s="3">
        <v>0</v>
      </c>
      <c r="L86" s="3">
        <v>500</v>
      </c>
      <c r="M86" s="3">
        <v>0</v>
      </c>
      <c r="N86" s="3">
        <v>21724</v>
      </c>
      <c r="O86" s="3">
        <v>1800</v>
      </c>
      <c r="P86" s="3">
        <v>0</v>
      </c>
      <c r="Q86" s="3">
        <v>200</v>
      </c>
      <c r="R86" s="3">
        <v>0</v>
      </c>
      <c r="S86" s="3">
        <v>0</v>
      </c>
      <c r="T86" s="3">
        <v>2025</v>
      </c>
      <c r="U86" s="3">
        <v>19699</v>
      </c>
      <c r="V86" s="3">
        <v>19924</v>
      </c>
      <c r="W86" s="4">
        <f>U86-V86</f>
        <v>-225</v>
      </c>
      <c r="X86" s="3">
        <v>1800</v>
      </c>
      <c r="Y86" s="3">
        <v>0</v>
      </c>
      <c r="Z86" s="3">
        <v>606</v>
      </c>
      <c r="AA86" s="3">
        <v>24130</v>
      </c>
    </row>
    <row r="87" spans="1:27" ht="18" x14ac:dyDescent="0.35">
      <c r="A87" s="3">
        <v>86</v>
      </c>
      <c r="B87" s="3" t="s">
        <v>208</v>
      </c>
      <c r="C87" s="3" t="s">
        <v>209</v>
      </c>
      <c r="D87" s="3" t="s">
        <v>33</v>
      </c>
      <c r="E87" s="3"/>
      <c r="F87" s="3"/>
      <c r="G87" s="3">
        <v>26</v>
      </c>
      <c r="H87" s="3">
        <v>18439</v>
      </c>
      <c r="I87" s="3">
        <v>6454</v>
      </c>
      <c r="J87" s="3">
        <v>6513</v>
      </c>
      <c r="K87" s="3">
        <v>0</v>
      </c>
      <c r="L87" s="3">
        <v>500</v>
      </c>
      <c r="M87" s="3">
        <v>0</v>
      </c>
      <c r="N87" s="3">
        <v>31906</v>
      </c>
      <c r="O87" s="3">
        <v>1800</v>
      </c>
      <c r="P87" s="3">
        <v>0</v>
      </c>
      <c r="Q87" s="3">
        <v>200</v>
      </c>
      <c r="R87" s="3">
        <v>0</v>
      </c>
      <c r="S87" s="3">
        <v>0</v>
      </c>
      <c r="T87" s="3">
        <v>2025</v>
      </c>
      <c r="U87" s="3">
        <v>29881</v>
      </c>
      <c r="V87" s="3">
        <v>29906</v>
      </c>
      <c r="W87" s="4">
        <f>U87-V87</f>
        <v>-25</v>
      </c>
      <c r="X87" s="3">
        <v>1800</v>
      </c>
      <c r="Y87" s="3">
        <v>0</v>
      </c>
      <c r="Z87" s="3">
        <v>887</v>
      </c>
      <c r="AA87" s="3">
        <v>34593</v>
      </c>
    </row>
    <row r="88" spans="1:27" ht="18" x14ac:dyDescent="0.35">
      <c r="A88" s="3">
        <v>87</v>
      </c>
      <c r="B88" s="3" t="s">
        <v>210</v>
      </c>
      <c r="C88" s="3" t="s">
        <v>211</v>
      </c>
      <c r="D88" s="3" t="s">
        <v>33</v>
      </c>
      <c r="E88" s="3"/>
      <c r="F88" s="3"/>
      <c r="G88" s="3">
        <v>26</v>
      </c>
      <c r="H88" s="3">
        <v>15311</v>
      </c>
      <c r="I88" s="3">
        <v>5359</v>
      </c>
      <c r="J88" s="3">
        <v>4890</v>
      </c>
      <c r="K88" s="3">
        <v>0</v>
      </c>
      <c r="L88" s="3">
        <v>500</v>
      </c>
      <c r="M88" s="3">
        <v>0</v>
      </c>
      <c r="N88" s="3">
        <v>26060</v>
      </c>
      <c r="O88" s="3">
        <v>1800</v>
      </c>
      <c r="P88" s="3">
        <v>0</v>
      </c>
      <c r="Q88" s="3">
        <v>200</v>
      </c>
      <c r="R88" s="3">
        <v>0</v>
      </c>
      <c r="S88" s="3">
        <v>0</v>
      </c>
      <c r="T88" s="3">
        <v>2025</v>
      </c>
      <c r="U88" s="3">
        <v>24035</v>
      </c>
      <c r="V88" s="3">
        <v>24260</v>
      </c>
      <c r="W88" s="4">
        <f>U88-V88</f>
        <v>-225</v>
      </c>
      <c r="X88" s="3">
        <v>1800</v>
      </c>
      <c r="Y88" s="3">
        <v>0</v>
      </c>
      <c r="Z88" s="3">
        <v>736</v>
      </c>
      <c r="AA88" s="3">
        <v>28596</v>
      </c>
    </row>
    <row r="89" spans="1:27" ht="18" x14ac:dyDescent="0.35">
      <c r="A89" s="3">
        <v>88</v>
      </c>
      <c r="B89" s="3" t="s">
        <v>212</v>
      </c>
      <c r="C89" s="3" t="s">
        <v>213</v>
      </c>
      <c r="D89" s="3" t="s">
        <v>36</v>
      </c>
      <c r="E89" s="3"/>
      <c r="F89" s="3"/>
      <c r="G89" s="3">
        <v>26</v>
      </c>
      <c r="H89" s="3">
        <v>19317</v>
      </c>
      <c r="I89" s="3">
        <v>6761</v>
      </c>
      <c r="J89" s="3">
        <v>6968</v>
      </c>
      <c r="K89" s="3">
        <v>0</v>
      </c>
      <c r="L89" s="3">
        <v>500</v>
      </c>
      <c r="M89" s="3">
        <v>0</v>
      </c>
      <c r="N89" s="3">
        <v>33546</v>
      </c>
      <c r="O89" s="3">
        <v>1800</v>
      </c>
      <c r="P89" s="3">
        <v>0</v>
      </c>
      <c r="Q89" s="3">
        <v>0</v>
      </c>
      <c r="R89" s="3">
        <v>0</v>
      </c>
      <c r="S89" s="3">
        <v>0</v>
      </c>
      <c r="T89" s="3">
        <v>1825</v>
      </c>
      <c r="U89" s="3">
        <v>31721</v>
      </c>
      <c r="V89" s="3">
        <v>31746</v>
      </c>
      <c r="W89" s="4">
        <f>U89-V89</f>
        <v>-25</v>
      </c>
      <c r="X89" s="3">
        <v>1800</v>
      </c>
      <c r="Y89" s="3">
        <v>0</v>
      </c>
      <c r="Z89" s="3">
        <v>929</v>
      </c>
      <c r="AA89" s="3">
        <v>36275</v>
      </c>
    </row>
    <row r="90" spans="1:27" ht="18" x14ac:dyDescent="0.35">
      <c r="A90" s="3">
        <v>89</v>
      </c>
      <c r="B90" s="3" t="s">
        <v>214</v>
      </c>
      <c r="C90" s="3" t="s">
        <v>215</v>
      </c>
      <c r="D90" s="3" t="s">
        <v>106</v>
      </c>
      <c r="E90" s="3"/>
      <c r="F90" s="3"/>
      <c r="G90" s="3">
        <v>26</v>
      </c>
      <c r="H90" s="3">
        <v>50063</v>
      </c>
      <c r="I90" s="3">
        <v>17522</v>
      </c>
      <c r="J90" s="3">
        <v>22914</v>
      </c>
      <c r="K90" s="3">
        <v>0</v>
      </c>
      <c r="L90" s="3">
        <v>500</v>
      </c>
      <c r="M90" s="3">
        <v>0</v>
      </c>
      <c r="N90" s="3">
        <v>90999</v>
      </c>
      <c r="O90" s="3">
        <v>1800</v>
      </c>
      <c r="P90" s="3">
        <v>0</v>
      </c>
      <c r="Q90" s="3">
        <v>200</v>
      </c>
      <c r="R90" s="3">
        <v>3942</v>
      </c>
      <c r="S90" s="3">
        <v>0</v>
      </c>
      <c r="T90" s="3">
        <v>5967</v>
      </c>
      <c r="U90" s="3">
        <v>85032</v>
      </c>
      <c r="V90" s="3">
        <v>89199</v>
      </c>
      <c r="W90" s="4">
        <f>U90-V90</f>
        <v>-4167</v>
      </c>
      <c r="X90" s="3">
        <v>1800</v>
      </c>
      <c r="Y90" s="3">
        <v>0</v>
      </c>
      <c r="Z90" s="3">
        <v>2408</v>
      </c>
      <c r="AA90" s="3">
        <v>95207</v>
      </c>
    </row>
    <row r="91" spans="1:27" ht="18" x14ac:dyDescent="0.35">
      <c r="A91" s="3">
        <v>90</v>
      </c>
      <c r="B91" s="3" t="s">
        <v>216</v>
      </c>
      <c r="C91" s="3" t="s">
        <v>217</v>
      </c>
      <c r="D91" s="3" t="s">
        <v>36</v>
      </c>
      <c r="E91" s="3"/>
      <c r="F91" s="3"/>
      <c r="G91" s="3">
        <v>26</v>
      </c>
      <c r="H91" s="3">
        <v>20282</v>
      </c>
      <c r="I91" s="3">
        <v>7099</v>
      </c>
      <c r="J91" s="3">
        <v>7469</v>
      </c>
      <c r="K91" s="3">
        <v>0</v>
      </c>
      <c r="L91" s="3">
        <v>500</v>
      </c>
      <c r="M91" s="3">
        <v>0</v>
      </c>
      <c r="N91" s="3">
        <v>35350</v>
      </c>
      <c r="O91" s="3">
        <v>1800</v>
      </c>
      <c r="P91" s="3">
        <v>0</v>
      </c>
      <c r="Q91" s="3">
        <v>200</v>
      </c>
      <c r="R91" s="3">
        <v>0</v>
      </c>
      <c r="S91" s="3">
        <v>0</v>
      </c>
      <c r="T91" s="3">
        <v>2025</v>
      </c>
      <c r="U91" s="3">
        <v>33325</v>
      </c>
      <c r="V91" s="3">
        <v>33550</v>
      </c>
      <c r="W91" s="4">
        <f>U91-V91</f>
        <v>-225</v>
      </c>
      <c r="X91" s="3">
        <v>1800</v>
      </c>
      <c r="Y91" s="3">
        <v>0</v>
      </c>
      <c r="Z91" s="3">
        <v>976</v>
      </c>
      <c r="AA91" s="3">
        <v>38126</v>
      </c>
    </row>
    <row r="92" spans="1:27" ht="18" x14ac:dyDescent="0.35">
      <c r="A92" s="3">
        <v>91</v>
      </c>
      <c r="B92" s="3" t="s">
        <v>218</v>
      </c>
      <c r="C92" s="3" t="s">
        <v>219</v>
      </c>
      <c r="D92" s="3" t="s">
        <v>36</v>
      </c>
      <c r="E92" s="3"/>
      <c r="F92" s="3"/>
      <c r="G92" s="3">
        <v>26</v>
      </c>
      <c r="H92" s="3">
        <v>17936</v>
      </c>
      <c r="I92" s="3">
        <v>6277</v>
      </c>
      <c r="J92" s="3">
        <v>6252</v>
      </c>
      <c r="K92" s="3">
        <v>0</v>
      </c>
      <c r="L92" s="3">
        <v>500</v>
      </c>
      <c r="M92" s="3">
        <v>0</v>
      </c>
      <c r="N92" s="3">
        <v>30965</v>
      </c>
      <c r="O92" s="3">
        <v>1800</v>
      </c>
      <c r="P92" s="3">
        <v>0</v>
      </c>
      <c r="Q92" s="3">
        <v>200</v>
      </c>
      <c r="R92" s="3">
        <v>0</v>
      </c>
      <c r="S92" s="3">
        <v>0</v>
      </c>
      <c r="T92" s="3">
        <v>2025</v>
      </c>
      <c r="U92" s="3">
        <v>28940</v>
      </c>
      <c r="V92" s="3">
        <v>28965</v>
      </c>
      <c r="W92" s="4">
        <f>U92-V92</f>
        <v>-25</v>
      </c>
      <c r="X92" s="3">
        <v>1800</v>
      </c>
      <c r="Y92" s="3">
        <v>0</v>
      </c>
      <c r="Z92" s="3">
        <v>863</v>
      </c>
      <c r="AA92" s="3">
        <v>33628</v>
      </c>
    </row>
    <row r="93" spans="1:27" ht="18" x14ac:dyDescent="0.35">
      <c r="A93" s="3">
        <v>92</v>
      </c>
      <c r="B93" s="3" t="s">
        <v>220</v>
      </c>
      <c r="C93" s="3" t="s">
        <v>221</v>
      </c>
      <c r="D93" s="3" t="s">
        <v>106</v>
      </c>
      <c r="E93" s="3"/>
      <c r="F93" s="3"/>
      <c r="G93" s="3">
        <v>25</v>
      </c>
      <c r="H93" s="3">
        <v>22922</v>
      </c>
      <c r="I93" s="3">
        <v>8022</v>
      </c>
      <c r="J93" s="3">
        <v>8939</v>
      </c>
      <c r="K93" s="3">
        <v>0</v>
      </c>
      <c r="L93" s="3">
        <v>483</v>
      </c>
      <c r="M93" s="3">
        <v>0</v>
      </c>
      <c r="N93" s="3">
        <v>40366</v>
      </c>
      <c r="O93" s="3">
        <v>1740</v>
      </c>
      <c r="P93" s="3">
        <v>0</v>
      </c>
      <c r="Q93" s="3">
        <v>200</v>
      </c>
      <c r="R93" s="3">
        <v>0</v>
      </c>
      <c r="S93" s="3">
        <v>0</v>
      </c>
      <c r="T93" s="3">
        <v>1965</v>
      </c>
      <c r="U93" s="3">
        <v>38401</v>
      </c>
      <c r="V93" s="3">
        <v>38566</v>
      </c>
      <c r="W93" s="4">
        <f>U93-V93</f>
        <v>-165</v>
      </c>
      <c r="X93" s="3">
        <v>1740</v>
      </c>
      <c r="Y93" s="3">
        <v>0</v>
      </c>
      <c r="Z93" s="3">
        <v>1141</v>
      </c>
      <c r="AA93" s="3">
        <v>43247</v>
      </c>
    </row>
    <row r="94" spans="1:27" ht="18" x14ac:dyDescent="0.35">
      <c r="A94" s="3">
        <v>93</v>
      </c>
      <c r="B94" s="3" t="s">
        <v>222</v>
      </c>
      <c r="C94" s="3" t="s">
        <v>223</v>
      </c>
      <c r="D94" s="3" t="s">
        <v>106</v>
      </c>
      <c r="E94" s="3"/>
      <c r="F94" s="3"/>
      <c r="G94" s="3">
        <v>26</v>
      </c>
      <c r="H94" s="3">
        <v>17561</v>
      </c>
      <c r="I94" s="3">
        <v>6146</v>
      </c>
      <c r="J94" s="3">
        <v>6057</v>
      </c>
      <c r="K94" s="3">
        <v>0</v>
      </c>
      <c r="L94" s="3">
        <v>500</v>
      </c>
      <c r="M94" s="3">
        <v>0</v>
      </c>
      <c r="N94" s="3">
        <v>30264</v>
      </c>
      <c r="O94" s="3">
        <v>1800</v>
      </c>
      <c r="P94" s="3">
        <v>0</v>
      </c>
      <c r="Q94" s="3">
        <v>200</v>
      </c>
      <c r="R94" s="3">
        <v>0</v>
      </c>
      <c r="S94" s="3">
        <v>0</v>
      </c>
      <c r="T94" s="3">
        <v>2025</v>
      </c>
      <c r="U94" s="3">
        <v>28239</v>
      </c>
      <c r="V94" s="3">
        <v>28464</v>
      </c>
      <c r="W94" s="4">
        <f>U94-V94</f>
        <v>-225</v>
      </c>
      <c r="X94" s="3">
        <v>1800</v>
      </c>
      <c r="Y94" s="3">
        <v>0</v>
      </c>
      <c r="Z94" s="3">
        <v>845</v>
      </c>
      <c r="AA94" s="3">
        <v>32909</v>
      </c>
    </row>
    <row r="95" spans="1:27" ht="18" x14ac:dyDescent="0.35">
      <c r="A95" s="3">
        <v>94</v>
      </c>
      <c r="B95" s="3" t="s">
        <v>224</v>
      </c>
      <c r="C95" s="3" t="s">
        <v>225</v>
      </c>
      <c r="D95" s="3" t="s">
        <v>36</v>
      </c>
      <c r="E95" s="3"/>
      <c r="F95" s="3"/>
      <c r="G95" s="3">
        <v>26</v>
      </c>
      <c r="H95" s="3">
        <v>18386</v>
      </c>
      <c r="I95" s="3">
        <v>6435</v>
      </c>
      <c r="J95" s="3">
        <v>6485</v>
      </c>
      <c r="K95" s="3">
        <v>0</v>
      </c>
      <c r="L95" s="3">
        <v>500</v>
      </c>
      <c r="M95" s="3">
        <v>0</v>
      </c>
      <c r="N95" s="3">
        <v>31806</v>
      </c>
      <c r="O95" s="3">
        <v>1800</v>
      </c>
      <c r="P95" s="3">
        <v>0</v>
      </c>
      <c r="Q95" s="3">
        <v>0</v>
      </c>
      <c r="R95" s="3">
        <v>0</v>
      </c>
      <c r="S95" s="3">
        <v>0</v>
      </c>
      <c r="T95" s="3">
        <v>1825</v>
      </c>
      <c r="U95" s="3">
        <v>29981</v>
      </c>
      <c r="V95" s="3">
        <v>30006</v>
      </c>
      <c r="W95" s="4">
        <f>U95-V95</f>
        <v>-25</v>
      </c>
      <c r="X95" s="3">
        <v>1800</v>
      </c>
      <c r="Y95" s="3">
        <v>0</v>
      </c>
      <c r="Z95" s="3">
        <v>884</v>
      </c>
      <c r="AA95" s="3">
        <v>34490</v>
      </c>
    </row>
    <row r="96" spans="1:27" ht="18" x14ac:dyDescent="0.35">
      <c r="A96" s="3">
        <v>95</v>
      </c>
      <c r="B96" s="3" t="s">
        <v>226</v>
      </c>
      <c r="C96" s="3" t="s">
        <v>227</v>
      </c>
      <c r="D96" s="3" t="s">
        <v>36</v>
      </c>
      <c r="E96" s="3"/>
      <c r="F96" s="3"/>
      <c r="G96" s="3">
        <v>21</v>
      </c>
      <c r="H96" s="3">
        <v>13000</v>
      </c>
      <c r="I96" s="3">
        <v>4550</v>
      </c>
      <c r="J96" s="3">
        <v>4617</v>
      </c>
      <c r="K96" s="3">
        <v>0</v>
      </c>
      <c r="L96" s="3">
        <v>0</v>
      </c>
      <c r="M96" s="3">
        <v>0</v>
      </c>
      <c r="N96" s="3">
        <v>22167</v>
      </c>
      <c r="O96" s="3">
        <v>1500</v>
      </c>
      <c r="P96" s="3">
        <v>0</v>
      </c>
      <c r="Q96" s="3">
        <v>0</v>
      </c>
      <c r="R96" s="3">
        <v>0</v>
      </c>
      <c r="S96" s="3">
        <v>0</v>
      </c>
      <c r="T96" s="3">
        <v>1525</v>
      </c>
      <c r="U96" s="3">
        <v>20642</v>
      </c>
      <c r="V96" s="3">
        <v>20367</v>
      </c>
      <c r="W96" s="4">
        <f>U96-V96</f>
        <v>275</v>
      </c>
      <c r="X96" s="3">
        <v>1500</v>
      </c>
      <c r="Y96" s="3">
        <v>0</v>
      </c>
      <c r="Z96" s="3">
        <v>750</v>
      </c>
      <c r="AA96" s="3">
        <v>24417</v>
      </c>
    </row>
    <row r="97" spans="1:27" ht="18" x14ac:dyDescent="0.35">
      <c r="A97" s="3">
        <v>96</v>
      </c>
      <c r="B97" s="3" t="s">
        <v>228</v>
      </c>
      <c r="C97" s="3" t="s">
        <v>229</v>
      </c>
      <c r="D97" s="3" t="s">
        <v>106</v>
      </c>
      <c r="E97" s="3"/>
      <c r="F97" s="3"/>
      <c r="G97" s="3">
        <v>26</v>
      </c>
      <c r="H97" s="3">
        <v>75667</v>
      </c>
      <c r="I97" s="3">
        <v>37833</v>
      </c>
      <c r="J97" s="3">
        <v>24843</v>
      </c>
      <c r="K97" s="3">
        <v>0</v>
      </c>
      <c r="L97" s="3">
        <v>500</v>
      </c>
      <c r="M97" s="3">
        <v>0</v>
      </c>
      <c r="N97" s="3">
        <v>138843</v>
      </c>
      <c r="O97" s="3">
        <v>1800</v>
      </c>
      <c r="P97" s="3">
        <v>0</v>
      </c>
      <c r="Q97" s="3">
        <v>200</v>
      </c>
      <c r="R97" s="3">
        <v>11219</v>
      </c>
      <c r="S97" s="3">
        <v>0</v>
      </c>
      <c r="T97" s="3">
        <v>13244</v>
      </c>
      <c r="U97" s="3">
        <v>125599</v>
      </c>
      <c r="V97" s="3">
        <v>124594</v>
      </c>
      <c r="W97" s="4">
        <f>U97-V97</f>
        <v>1005</v>
      </c>
      <c r="X97" s="3">
        <v>1800</v>
      </c>
      <c r="Y97" s="3">
        <v>0</v>
      </c>
      <c r="Z97" s="3">
        <v>3640</v>
      </c>
      <c r="AA97" s="3">
        <v>144283</v>
      </c>
    </row>
    <row r="98" spans="1:27" ht="18" x14ac:dyDescent="0.35">
      <c r="A98" s="3">
        <v>97</v>
      </c>
      <c r="B98" s="3" t="s">
        <v>230</v>
      </c>
      <c r="C98" s="3" t="s">
        <v>231</v>
      </c>
      <c r="D98" s="3" t="s">
        <v>36</v>
      </c>
      <c r="E98" s="3"/>
      <c r="F98" s="3"/>
      <c r="G98" s="3">
        <v>26</v>
      </c>
      <c r="H98" s="3">
        <v>50000</v>
      </c>
      <c r="I98" s="3">
        <v>17500</v>
      </c>
      <c r="J98" s="3">
        <v>22881</v>
      </c>
      <c r="K98" s="3">
        <v>0</v>
      </c>
      <c r="L98" s="3">
        <v>500</v>
      </c>
      <c r="M98" s="3">
        <v>0</v>
      </c>
      <c r="N98" s="3">
        <v>90881</v>
      </c>
      <c r="O98" s="3">
        <v>1800</v>
      </c>
      <c r="P98" s="3">
        <v>0</v>
      </c>
      <c r="Q98" s="3">
        <v>208</v>
      </c>
      <c r="R98" s="3">
        <v>3929</v>
      </c>
      <c r="S98" s="3">
        <v>0</v>
      </c>
      <c r="T98" s="3">
        <v>5962</v>
      </c>
      <c r="U98" s="3">
        <v>84919</v>
      </c>
      <c r="V98" s="3">
        <v>79993</v>
      </c>
      <c r="W98" s="4">
        <f>U98-V98</f>
        <v>4926</v>
      </c>
      <c r="X98" s="3">
        <v>1800</v>
      </c>
      <c r="Y98" s="3">
        <v>0</v>
      </c>
      <c r="Z98" s="3">
        <v>2405</v>
      </c>
      <c r="AA98" s="3">
        <v>95086</v>
      </c>
    </row>
    <row r="99" spans="1:27" ht="18" x14ac:dyDescent="0.35">
      <c r="A99" s="3">
        <v>98</v>
      </c>
      <c r="B99" s="3" t="s">
        <v>232</v>
      </c>
      <c r="C99" s="3" t="s">
        <v>233</v>
      </c>
      <c r="D99" s="3" t="s">
        <v>36</v>
      </c>
      <c r="E99" s="3"/>
      <c r="F99" s="3"/>
      <c r="G99" s="3">
        <v>26</v>
      </c>
      <c r="H99" s="3">
        <v>12078</v>
      </c>
      <c r="I99" s="3">
        <v>6039</v>
      </c>
      <c r="J99" s="3">
        <v>1402</v>
      </c>
      <c r="K99" s="3">
        <v>0</v>
      </c>
      <c r="L99" s="3">
        <v>500</v>
      </c>
      <c r="M99" s="3">
        <v>0</v>
      </c>
      <c r="N99" s="3">
        <v>20019</v>
      </c>
      <c r="O99" s="3">
        <v>1800</v>
      </c>
      <c r="P99" s="3">
        <v>150</v>
      </c>
      <c r="Q99" s="3">
        <v>0</v>
      </c>
      <c r="R99" s="3">
        <v>0</v>
      </c>
      <c r="S99" s="3">
        <v>0</v>
      </c>
      <c r="T99" s="3">
        <v>1975</v>
      </c>
      <c r="U99" s="3">
        <v>18044</v>
      </c>
      <c r="V99" s="3">
        <v>18420</v>
      </c>
      <c r="W99" s="4">
        <f>U99-V99</f>
        <v>-376</v>
      </c>
      <c r="X99" s="3">
        <v>1800</v>
      </c>
      <c r="Y99" s="3">
        <v>651</v>
      </c>
      <c r="Z99" s="3">
        <v>581</v>
      </c>
      <c r="AA99" s="3">
        <v>22400</v>
      </c>
    </row>
    <row r="100" spans="1:27" ht="18" x14ac:dyDescent="0.35">
      <c r="A100" s="3">
        <v>99</v>
      </c>
      <c r="B100" s="3" t="s">
        <v>234</v>
      </c>
      <c r="C100" s="3" t="s">
        <v>235</v>
      </c>
      <c r="D100" s="3" t="s">
        <v>36</v>
      </c>
      <c r="E100" s="3"/>
      <c r="F100" s="3"/>
      <c r="G100" s="3">
        <v>26</v>
      </c>
      <c r="H100" s="3">
        <v>10968</v>
      </c>
      <c r="I100" s="3">
        <v>5484</v>
      </c>
      <c r="J100" s="3">
        <v>993</v>
      </c>
      <c r="K100" s="3">
        <v>0</v>
      </c>
      <c r="L100" s="3">
        <v>500</v>
      </c>
      <c r="M100" s="3">
        <v>0</v>
      </c>
      <c r="N100" s="3">
        <v>17945</v>
      </c>
      <c r="O100" s="3">
        <v>1800</v>
      </c>
      <c r="P100" s="3">
        <v>135</v>
      </c>
      <c r="Q100" s="3">
        <v>208</v>
      </c>
      <c r="R100" s="3">
        <v>0</v>
      </c>
      <c r="S100" s="3">
        <v>0</v>
      </c>
      <c r="T100" s="3">
        <v>2168</v>
      </c>
      <c r="U100" s="3">
        <v>15777</v>
      </c>
      <c r="V100" s="3">
        <v>16010</v>
      </c>
      <c r="W100" s="4">
        <f>U100-V100</f>
        <v>-233</v>
      </c>
      <c r="X100" s="3">
        <v>1800</v>
      </c>
      <c r="Y100" s="3">
        <v>583</v>
      </c>
      <c r="Z100" s="3">
        <v>528</v>
      </c>
      <c r="AA100" s="3">
        <v>20273</v>
      </c>
    </row>
    <row r="101" spans="1:27" ht="18" x14ac:dyDescent="0.35">
      <c r="A101" s="3">
        <v>100</v>
      </c>
      <c r="B101" s="3" t="s">
        <v>236</v>
      </c>
      <c r="C101" s="3" t="s">
        <v>237</v>
      </c>
      <c r="D101" s="3" t="s">
        <v>106</v>
      </c>
      <c r="E101" s="3"/>
      <c r="F101" s="3"/>
      <c r="G101" s="3">
        <v>26</v>
      </c>
      <c r="H101" s="3">
        <v>14229</v>
      </c>
      <c r="I101" s="3">
        <v>7115</v>
      </c>
      <c r="J101" s="3">
        <v>2195</v>
      </c>
      <c r="K101" s="3">
        <v>0</v>
      </c>
      <c r="L101" s="3">
        <v>500</v>
      </c>
      <c r="M101" s="3">
        <v>0</v>
      </c>
      <c r="N101" s="3">
        <v>24039</v>
      </c>
      <c r="O101" s="3">
        <v>1800</v>
      </c>
      <c r="P101" s="3">
        <v>0</v>
      </c>
      <c r="Q101" s="3">
        <v>200</v>
      </c>
      <c r="R101" s="3">
        <v>0</v>
      </c>
      <c r="S101" s="3">
        <v>0</v>
      </c>
      <c r="T101" s="3">
        <v>2025</v>
      </c>
      <c r="U101" s="3">
        <v>22014</v>
      </c>
      <c r="V101" s="3">
        <v>22239</v>
      </c>
      <c r="W101" s="4">
        <f>U101-V101</f>
        <v>-225</v>
      </c>
      <c r="X101" s="3">
        <v>1800</v>
      </c>
      <c r="Y101" s="3">
        <v>0</v>
      </c>
      <c r="Z101" s="3">
        <v>684</v>
      </c>
      <c r="AA101" s="3">
        <v>26523</v>
      </c>
    </row>
    <row r="102" spans="1:27" ht="18" x14ac:dyDescent="0.35">
      <c r="A102" s="3">
        <v>101</v>
      </c>
      <c r="B102" s="3" t="s">
        <v>238</v>
      </c>
      <c r="C102" s="3" t="s">
        <v>239</v>
      </c>
      <c r="D102" s="3"/>
      <c r="E102" s="3"/>
      <c r="F102" s="3"/>
      <c r="G102" s="3">
        <v>26</v>
      </c>
      <c r="H102" s="3">
        <v>16917</v>
      </c>
      <c r="I102" s="3">
        <v>8458</v>
      </c>
      <c r="J102" s="3">
        <v>3186</v>
      </c>
      <c r="K102" s="3">
        <v>0</v>
      </c>
      <c r="L102" s="3">
        <v>500</v>
      </c>
      <c r="M102" s="3">
        <v>0</v>
      </c>
      <c r="N102" s="3">
        <v>29061</v>
      </c>
      <c r="O102" s="3">
        <v>1800</v>
      </c>
      <c r="P102" s="3">
        <v>0</v>
      </c>
      <c r="Q102" s="3">
        <v>200</v>
      </c>
      <c r="R102" s="3">
        <v>0</v>
      </c>
      <c r="S102" s="3">
        <v>0</v>
      </c>
      <c r="T102" s="3">
        <v>2025</v>
      </c>
      <c r="U102" s="3">
        <v>27036</v>
      </c>
      <c r="V102" s="3">
        <v>27261</v>
      </c>
      <c r="W102" s="4">
        <f>U102-V102</f>
        <v>-225</v>
      </c>
      <c r="X102" s="3">
        <v>1800</v>
      </c>
      <c r="Y102" s="3">
        <v>0</v>
      </c>
      <c r="Z102" s="3">
        <v>814</v>
      </c>
      <c r="AA102" s="3">
        <v>31675</v>
      </c>
    </row>
    <row r="103" spans="1:27" ht="18" x14ac:dyDescent="0.35">
      <c r="A103" s="3">
        <v>102</v>
      </c>
      <c r="B103" s="3" t="s">
        <v>240</v>
      </c>
      <c r="C103" s="3" t="s">
        <v>241</v>
      </c>
      <c r="D103" s="3" t="s">
        <v>106</v>
      </c>
      <c r="E103" s="3"/>
      <c r="F103" s="3"/>
      <c r="G103" s="3">
        <v>26</v>
      </c>
      <c r="H103" s="3">
        <v>14833</v>
      </c>
      <c r="I103" s="3">
        <v>7417</v>
      </c>
      <c r="J103" s="3">
        <v>2418</v>
      </c>
      <c r="K103" s="3">
        <v>0</v>
      </c>
      <c r="L103" s="3">
        <v>500</v>
      </c>
      <c r="M103" s="3">
        <v>0</v>
      </c>
      <c r="N103" s="3">
        <v>25168</v>
      </c>
      <c r="O103" s="3">
        <v>1800</v>
      </c>
      <c r="P103" s="3">
        <v>0</v>
      </c>
      <c r="Q103" s="3">
        <v>200</v>
      </c>
      <c r="R103" s="3">
        <v>0</v>
      </c>
      <c r="S103" s="3">
        <v>0</v>
      </c>
      <c r="T103" s="3">
        <v>2025</v>
      </c>
      <c r="U103" s="3">
        <v>23143</v>
      </c>
      <c r="V103" s="3">
        <v>23368</v>
      </c>
      <c r="W103" s="4">
        <f>U103-V103</f>
        <v>-225</v>
      </c>
      <c r="X103" s="3">
        <v>1800</v>
      </c>
      <c r="Y103" s="3">
        <v>0</v>
      </c>
      <c r="Z103" s="3">
        <v>713</v>
      </c>
      <c r="AA103" s="3">
        <v>27681</v>
      </c>
    </row>
    <row r="104" spans="1:27" ht="18" x14ac:dyDescent="0.35">
      <c r="A104" s="3">
        <v>103</v>
      </c>
      <c r="B104" s="3" t="s">
        <v>242</v>
      </c>
      <c r="C104" s="3" t="s">
        <v>243</v>
      </c>
      <c r="D104" s="3" t="s">
        <v>30</v>
      </c>
      <c r="E104" s="3"/>
      <c r="F104" s="3"/>
      <c r="G104" s="3">
        <v>23</v>
      </c>
      <c r="H104" s="3">
        <v>36687</v>
      </c>
      <c r="I104" s="3">
        <v>12840</v>
      </c>
      <c r="J104" s="3">
        <v>16282</v>
      </c>
      <c r="K104" s="3">
        <v>0</v>
      </c>
      <c r="L104" s="3">
        <v>450</v>
      </c>
      <c r="M104" s="3">
        <v>0</v>
      </c>
      <c r="N104" s="3">
        <v>66259</v>
      </c>
      <c r="O104" s="3">
        <v>1620</v>
      </c>
      <c r="P104" s="3">
        <v>0</v>
      </c>
      <c r="Q104" s="3">
        <v>208</v>
      </c>
      <c r="R104" s="3">
        <v>1971</v>
      </c>
      <c r="S104" s="3">
        <v>0</v>
      </c>
      <c r="T104" s="3">
        <v>3824</v>
      </c>
      <c r="U104" s="3">
        <v>62435</v>
      </c>
      <c r="V104" s="3">
        <v>64459</v>
      </c>
      <c r="W104" s="4">
        <f>U104-V104</f>
        <v>-2024</v>
      </c>
      <c r="X104" s="3">
        <v>1620</v>
      </c>
      <c r="Y104" s="3">
        <v>0</v>
      </c>
      <c r="Z104" s="3">
        <v>1961</v>
      </c>
      <c r="AA104" s="3">
        <v>69840</v>
      </c>
    </row>
    <row r="105" spans="1:27" ht="18" x14ac:dyDescent="0.35">
      <c r="A105" s="3">
        <v>104</v>
      </c>
      <c r="B105" s="3" t="s">
        <v>244</v>
      </c>
      <c r="C105" s="3" t="s">
        <v>245</v>
      </c>
      <c r="D105" s="3" t="s">
        <v>33</v>
      </c>
      <c r="E105" s="3"/>
      <c r="F105" s="3"/>
      <c r="G105" s="3">
        <v>26</v>
      </c>
      <c r="H105" s="3">
        <v>51858</v>
      </c>
      <c r="I105" s="3">
        <v>25929</v>
      </c>
      <c r="J105" s="3">
        <v>11744</v>
      </c>
      <c r="K105" s="3">
        <v>0</v>
      </c>
      <c r="L105" s="3">
        <v>500</v>
      </c>
      <c r="M105" s="3">
        <v>0</v>
      </c>
      <c r="N105" s="3">
        <v>90031</v>
      </c>
      <c r="O105" s="3">
        <v>1800</v>
      </c>
      <c r="P105" s="3">
        <v>0</v>
      </c>
      <c r="Q105" s="3">
        <v>200</v>
      </c>
      <c r="R105" s="3">
        <v>3833</v>
      </c>
      <c r="S105" s="3">
        <v>0</v>
      </c>
      <c r="T105" s="3">
        <v>5858</v>
      </c>
      <c r="U105" s="3">
        <v>84173</v>
      </c>
      <c r="V105" s="3">
        <v>88031</v>
      </c>
      <c r="W105" s="4">
        <f>U105-V105</f>
        <v>-3858</v>
      </c>
      <c r="X105" s="3">
        <v>1800</v>
      </c>
      <c r="Y105" s="3">
        <v>0</v>
      </c>
      <c r="Z105" s="3">
        <v>2494</v>
      </c>
      <c r="AA105" s="3">
        <v>94325</v>
      </c>
    </row>
    <row r="106" spans="1:27" ht="18" x14ac:dyDescent="0.35">
      <c r="A106" s="3">
        <v>105</v>
      </c>
      <c r="B106" s="3" t="s">
        <v>246</v>
      </c>
      <c r="C106" s="3" t="s">
        <v>247</v>
      </c>
      <c r="D106" s="3" t="s">
        <v>33</v>
      </c>
      <c r="E106" s="3"/>
      <c r="F106" s="3"/>
      <c r="G106" s="3">
        <v>26</v>
      </c>
      <c r="H106" s="3">
        <v>20035</v>
      </c>
      <c r="I106" s="3">
        <v>7012</v>
      </c>
      <c r="J106" s="3">
        <v>7340</v>
      </c>
      <c r="K106" s="3">
        <v>0</v>
      </c>
      <c r="L106" s="3">
        <v>500</v>
      </c>
      <c r="M106" s="3">
        <v>0</v>
      </c>
      <c r="N106" s="3">
        <v>34887</v>
      </c>
      <c r="O106" s="3">
        <v>1800</v>
      </c>
      <c r="P106" s="3">
        <v>0</v>
      </c>
      <c r="Q106" s="3">
        <v>0</v>
      </c>
      <c r="R106" s="3">
        <v>0</v>
      </c>
      <c r="S106" s="3">
        <v>0</v>
      </c>
      <c r="T106" s="3">
        <v>1825</v>
      </c>
      <c r="U106" s="3">
        <v>33062</v>
      </c>
      <c r="V106" s="3">
        <v>33087</v>
      </c>
      <c r="W106" s="4">
        <f>U106-V106</f>
        <v>-25</v>
      </c>
      <c r="X106" s="3">
        <v>1800</v>
      </c>
      <c r="Y106" s="3">
        <v>0</v>
      </c>
      <c r="Z106" s="3">
        <v>964</v>
      </c>
      <c r="AA106" s="3">
        <v>37651</v>
      </c>
    </row>
    <row r="107" spans="1:27" ht="18" x14ac:dyDescent="0.35">
      <c r="A107" s="3">
        <v>106</v>
      </c>
      <c r="B107" s="3" t="s">
        <v>248</v>
      </c>
      <c r="C107" s="3" t="s">
        <v>249</v>
      </c>
      <c r="D107" s="3" t="s">
        <v>33</v>
      </c>
      <c r="E107" s="3"/>
      <c r="F107" s="3"/>
      <c r="G107" s="3">
        <v>26</v>
      </c>
      <c r="H107" s="3">
        <v>12636</v>
      </c>
      <c r="I107" s="3">
        <v>4423</v>
      </c>
      <c r="J107" s="3">
        <v>4753</v>
      </c>
      <c r="K107" s="3">
        <v>0</v>
      </c>
      <c r="L107" s="3">
        <v>0</v>
      </c>
      <c r="M107" s="3">
        <v>0</v>
      </c>
      <c r="N107" s="3">
        <v>21812</v>
      </c>
      <c r="O107" s="3">
        <v>1800</v>
      </c>
      <c r="P107" s="3">
        <v>0</v>
      </c>
      <c r="Q107" s="3">
        <v>0</v>
      </c>
      <c r="R107" s="3">
        <v>0</v>
      </c>
      <c r="S107" s="3">
        <v>0</v>
      </c>
      <c r="T107" s="3">
        <v>1825</v>
      </c>
      <c r="U107" s="3">
        <v>19987</v>
      </c>
      <c r="V107" s="3">
        <v>20012</v>
      </c>
      <c r="W107" s="4">
        <f>U107-V107</f>
        <v>-25</v>
      </c>
      <c r="X107" s="3">
        <v>1800</v>
      </c>
      <c r="Y107" s="3">
        <v>0</v>
      </c>
      <c r="Z107" s="3">
        <v>608</v>
      </c>
      <c r="AA107" s="3">
        <v>24220</v>
      </c>
    </row>
    <row r="108" spans="1:27" ht="18" x14ac:dyDescent="0.35">
      <c r="A108" s="3">
        <v>107</v>
      </c>
      <c r="B108" s="3" t="s">
        <v>250</v>
      </c>
      <c r="C108" s="3" t="s">
        <v>251</v>
      </c>
      <c r="D108" s="3" t="s">
        <v>33</v>
      </c>
      <c r="E108" s="3"/>
      <c r="F108" s="3"/>
      <c r="G108" s="3">
        <v>26</v>
      </c>
      <c r="H108" s="3">
        <v>16398</v>
      </c>
      <c r="I108" s="3">
        <v>5739</v>
      </c>
      <c r="J108" s="3">
        <v>5954</v>
      </c>
      <c r="K108" s="3">
        <v>0</v>
      </c>
      <c r="L108" s="3">
        <v>0</v>
      </c>
      <c r="M108" s="3">
        <v>0</v>
      </c>
      <c r="N108" s="3">
        <v>28091</v>
      </c>
      <c r="O108" s="3">
        <v>1800</v>
      </c>
      <c r="P108" s="3">
        <v>0</v>
      </c>
      <c r="Q108" s="3">
        <v>0</v>
      </c>
      <c r="R108" s="3">
        <v>0</v>
      </c>
      <c r="S108" s="3">
        <v>0</v>
      </c>
      <c r="T108" s="3">
        <v>1825</v>
      </c>
      <c r="U108" s="3">
        <v>26266</v>
      </c>
      <c r="V108" s="3">
        <v>26291</v>
      </c>
      <c r="W108" s="4">
        <f>U108-V108</f>
        <v>-25</v>
      </c>
      <c r="X108" s="3">
        <v>1800</v>
      </c>
      <c r="Y108" s="3">
        <v>0</v>
      </c>
      <c r="Z108" s="3">
        <v>789</v>
      </c>
      <c r="AA108" s="3">
        <v>30680</v>
      </c>
    </row>
    <row r="109" spans="1:27" ht="18" x14ac:dyDescent="0.35">
      <c r="A109" s="3">
        <v>108</v>
      </c>
      <c r="B109" s="3" t="s">
        <v>252</v>
      </c>
      <c r="C109" s="3" t="s">
        <v>253</v>
      </c>
      <c r="D109" s="3" t="s">
        <v>30</v>
      </c>
      <c r="E109" s="3"/>
      <c r="F109" s="3"/>
      <c r="G109" s="3">
        <v>24</v>
      </c>
      <c r="H109" s="3">
        <v>41061</v>
      </c>
      <c r="I109" s="3">
        <v>14371</v>
      </c>
      <c r="J109" s="3">
        <v>18245</v>
      </c>
      <c r="K109" s="3">
        <v>0</v>
      </c>
      <c r="L109" s="3">
        <v>500</v>
      </c>
      <c r="M109" s="3">
        <v>0</v>
      </c>
      <c r="N109" s="3">
        <v>74177</v>
      </c>
      <c r="O109" s="3">
        <v>1800</v>
      </c>
      <c r="P109" s="3">
        <v>0</v>
      </c>
      <c r="Q109" s="3">
        <v>200</v>
      </c>
      <c r="R109" s="3">
        <v>2034</v>
      </c>
      <c r="S109" s="3">
        <v>0</v>
      </c>
      <c r="T109" s="3">
        <v>4059</v>
      </c>
      <c r="U109" s="3">
        <v>70118</v>
      </c>
      <c r="V109" s="3">
        <v>72177</v>
      </c>
      <c r="W109" s="4">
        <f>U109-V109</f>
        <v>-2059</v>
      </c>
      <c r="X109" s="3">
        <v>1800</v>
      </c>
      <c r="Y109" s="3">
        <v>0</v>
      </c>
      <c r="Z109" s="3">
        <v>1975</v>
      </c>
      <c r="AA109" s="3">
        <v>77952</v>
      </c>
    </row>
    <row r="110" spans="1:27" ht="18" x14ac:dyDescent="0.35">
      <c r="A110" s="3">
        <v>109</v>
      </c>
      <c r="B110" s="3" t="s">
        <v>254</v>
      </c>
      <c r="C110" s="3" t="s">
        <v>255</v>
      </c>
      <c r="D110" s="3" t="s">
        <v>27</v>
      </c>
      <c r="E110" s="3"/>
      <c r="F110" s="3"/>
      <c r="G110" s="3">
        <v>26</v>
      </c>
      <c r="H110" s="3">
        <v>21026</v>
      </c>
      <c r="I110" s="3">
        <v>7359</v>
      </c>
      <c r="J110" s="3">
        <v>7854</v>
      </c>
      <c r="K110" s="3">
        <v>0</v>
      </c>
      <c r="L110" s="3">
        <v>500</v>
      </c>
      <c r="M110" s="3">
        <v>0</v>
      </c>
      <c r="N110" s="3">
        <v>36739</v>
      </c>
      <c r="O110" s="3">
        <v>1800</v>
      </c>
      <c r="P110" s="3">
        <v>0</v>
      </c>
      <c r="Q110" s="3">
        <v>200</v>
      </c>
      <c r="R110" s="3">
        <v>0</v>
      </c>
      <c r="S110" s="3">
        <v>0</v>
      </c>
      <c r="T110" s="3">
        <v>2025</v>
      </c>
      <c r="U110" s="3">
        <v>34714</v>
      </c>
      <c r="V110" s="3">
        <v>34739</v>
      </c>
      <c r="W110" s="4">
        <f>U110-V110</f>
        <v>-25</v>
      </c>
      <c r="X110" s="3">
        <v>1800</v>
      </c>
      <c r="Y110" s="3">
        <v>0</v>
      </c>
      <c r="Z110" s="3">
        <v>1011</v>
      </c>
      <c r="AA110" s="3">
        <v>39550</v>
      </c>
    </row>
    <row r="111" spans="1:27" ht="18" x14ac:dyDescent="0.35">
      <c r="A111" s="3">
        <v>110</v>
      </c>
      <c r="B111" s="3" t="s">
        <v>256</v>
      </c>
      <c r="C111" s="3" t="s">
        <v>257</v>
      </c>
      <c r="D111" s="3" t="s">
        <v>30</v>
      </c>
      <c r="E111" s="3"/>
      <c r="F111" s="3"/>
      <c r="G111" s="3">
        <v>26</v>
      </c>
      <c r="H111" s="3">
        <v>19711</v>
      </c>
      <c r="I111" s="3">
        <v>6899</v>
      </c>
      <c r="J111" s="3">
        <v>7173</v>
      </c>
      <c r="K111" s="3">
        <v>0</v>
      </c>
      <c r="L111" s="3">
        <v>500</v>
      </c>
      <c r="M111" s="3">
        <v>0</v>
      </c>
      <c r="N111" s="3">
        <v>34283</v>
      </c>
      <c r="O111" s="3">
        <v>1800</v>
      </c>
      <c r="P111" s="3">
        <v>0</v>
      </c>
      <c r="Q111" s="3">
        <v>200</v>
      </c>
      <c r="R111" s="3">
        <v>0</v>
      </c>
      <c r="S111" s="3">
        <v>0</v>
      </c>
      <c r="T111" s="3">
        <v>2025</v>
      </c>
      <c r="U111" s="3">
        <v>32258</v>
      </c>
      <c r="V111" s="3">
        <v>32333</v>
      </c>
      <c r="W111" s="4">
        <f>U111-V111</f>
        <v>-75</v>
      </c>
      <c r="X111" s="3">
        <v>1800</v>
      </c>
      <c r="Y111" s="3">
        <v>0</v>
      </c>
      <c r="Z111" s="3">
        <v>948</v>
      </c>
      <c r="AA111" s="3">
        <v>37031</v>
      </c>
    </row>
    <row r="112" spans="1:27" ht="18" x14ac:dyDescent="0.35">
      <c r="A112" s="3">
        <v>111</v>
      </c>
      <c r="B112" s="3" t="s">
        <v>258</v>
      </c>
      <c r="C112" s="3" t="s">
        <v>259</v>
      </c>
      <c r="D112" s="3" t="s">
        <v>27</v>
      </c>
      <c r="E112" s="3"/>
      <c r="F112" s="3"/>
      <c r="G112" s="3">
        <v>26</v>
      </c>
      <c r="H112" s="3">
        <v>22124</v>
      </c>
      <c r="I112" s="3">
        <v>7744</v>
      </c>
      <c r="J112" s="3">
        <v>8424</v>
      </c>
      <c r="K112" s="3">
        <v>0</v>
      </c>
      <c r="L112" s="3">
        <v>500</v>
      </c>
      <c r="M112" s="3">
        <v>0</v>
      </c>
      <c r="N112" s="3">
        <v>38792</v>
      </c>
      <c r="O112" s="3">
        <v>1800</v>
      </c>
      <c r="P112" s="3">
        <v>0</v>
      </c>
      <c r="Q112" s="3">
        <v>0</v>
      </c>
      <c r="R112" s="3">
        <v>0</v>
      </c>
      <c r="S112" s="3">
        <v>0</v>
      </c>
      <c r="T112" s="3">
        <v>1825</v>
      </c>
      <c r="U112" s="3">
        <v>36967</v>
      </c>
      <c r="V112" s="3">
        <v>36992</v>
      </c>
      <c r="W112" s="4">
        <f>U112-V112</f>
        <v>-25</v>
      </c>
      <c r="X112" s="3">
        <v>1800</v>
      </c>
      <c r="Y112" s="3">
        <v>0</v>
      </c>
      <c r="Z112" s="3">
        <v>1064</v>
      </c>
      <c r="AA112" s="3">
        <v>41656</v>
      </c>
    </row>
    <row r="113" spans="1:27" ht="18" x14ac:dyDescent="0.35">
      <c r="A113" s="3">
        <v>112</v>
      </c>
      <c r="B113" s="3" t="s">
        <v>260</v>
      </c>
      <c r="C113" s="3" t="s">
        <v>261</v>
      </c>
      <c r="D113" s="3" t="s">
        <v>120</v>
      </c>
      <c r="E113" s="3"/>
      <c r="F113" s="3"/>
      <c r="G113" s="3">
        <v>26</v>
      </c>
      <c r="H113" s="3">
        <v>13399</v>
      </c>
      <c r="I113" s="3">
        <v>4690</v>
      </c>
      <c r="J113" s="3">
        <v>4649</v>
      </c>
      <c r="K113" s="3">
        <v>0</v>
      </c>
      <c r="L113" s="3">
        <v>500</v>
      </c>
      <c r="M113" s="3">
        <v>0</v>
      </c>
      <c r="N113" s="3">
        <v>23238</v>
      </c>
      <c r="O113" s="3">
        <v>1800</v>
      </c>
      <c r="P113" s="3">
        <v>0</v>
      </c>
      <c r="Q113" s="3">
        <v>200</v>
      </c>
      <c r="R113" s="3">
        <v>0</v>
      </c>
      <c r="S113" s="3">
        <v>0</v>
      </c>
      <c r="T113" s="3">
        <v>2025</v>
      </c>
      <c r="U113" s="3">
        <v>21213</v>
      </c>
      <c r="V113" s="3">
        <v>21438</v>
      </c>
      <c r="W113" s="4">
        <f>U113-V113</f>
        <v>-225</v>
      </c>
      <c r="X113" s="3">
        <v>1800</v>
      </c>
      <c r="Y113" s="3">
        <v>0</v>
      </c>
      <c r="Z113" s="3">
        <v>644</v>
      </c>
      <c r="AA113" s="3">
        <v>25682</v>
      </c>
    </row>
    <row r="114" spans="1:27" ht="18" x14ac:dyDescent="0.35">
      <c r="A114" s="3">
        <v>113</v>
      </c>
      <c r="B114" s="3" t="s">
        <v>262</v>
      </c>
      <c r="C114" s="3" t="s">
        <v>263</v>
      </c>
      <c r="D114" s="3" t="s">
        <v>30</v>
      </c>
      <c r="E114" s="3"/>
      <c r="F114" s="3"/>
      <c r="G114" s="3">
        <v>26</v>
      </c>
      <c r="H114" s="3">
        <v>14604</v>
      </c>
      <c r="I114" s="3">
        <v>5112</v>
      </c>
      <c r="J114" s="3">
        <v>4524</v>
      </c>
      <c r="K114" s="3">
        <v>0</v>
      </c>
      <c r="L114" s="3">
        <v>500</v>
      </c>
      <c r="M114" s="3">
        <v>0</v>
      </c>
      <c r="N114" s="3">
        <v>24740</v>
      </c>
      <c r="O114" s="3">
        <v>1800</v>
      </c>
      <c r="P114" s="3">
        <v>0</v>
      </c>
      <c r="Q114" s="3">
        <v>200</v>
      </c>
      <c r="R114" s="3">
        <v>0</v>
      </c>
      <c r="S114" s="3">
        <v>0</v>
      </c>
      <c r="T114" s="3">
        <v>2025</v>
      </c>
      <c r="U114" s="3">
        <v>22715</v>
      </c>
      <c r="V114" s="3">
        <v>22940</v>
      </c>
      <c r="W114" s="4">
        <f>U114-V114</f>
        <v>-225</v>
      </c>
      <c r="X114" s="3">
        <v>1800</v>
      </c>
      <c r="Y114" s="3">
        <v>0</v>
      </c>
      <c r="Z114" s="3">
        <v>702</v>
      </c>
      <c r="AA114" s="3">
        <v>27242</v>
      </c>
    </row>
    <row r="115" spans="1:27" ht="18" x14ac:dyDescent="0.35">
      <c r="A115" s="3">
        <v>114</v>
      </c>
      <c r="B115" s="3" t="s">
        <v>264</v>
      </c>
      <c r="C115" s="3" t="s">
        <v>265</v>
      </c>
      <c r="D115" s="3" t="s">
        <v>30</v>
      </c>
      <c r="E115" s="3"/>
      <c r="F115" s="3"/>
      <c r="G115" s="3">
        <v>24</v>
      </c>
      <c r="H115" s="3">
        <v>16468</v>
      </c>
      <c r="I115" s="3">
        <v>5764</v>
      </c>
      <c r="J115" s="3">
        <v>5694</v>
      </c>
      <c r="K115" s="3">
        <v>0</v>
      </c>
      <c r="L115" s="3">
        <v>467</v>
      </c>
      <c r="M115" s="3">
        <v>0</v>
      </c>
      <c r="N115" s="3">
        <v>28393</v>
      </c>
      <c r="O115" s="3">
        <v>1680</v>
      </c>
      <c r="P115" s="3">
        <v>0</v>
      </c>
      <c r="Q115" s="3">
        <v>200</v>
      </c>
      <c r="R115" s="3">
        <v>0</v>
      </c>
      <c r="S115" s="3">
        <v>0</v>
      </c>
      <c r="T115" s="3">
        <v>1905</v>
      </c>
      <c r="U115" s="3">
        <v>26488</v>
      </c>
      <c r="V115" s="3">
        <v>26443</v>
      </c>
      <c r="W115" s="4">
        <f>U115-V115</f>
        <v>45</v>
      </c>
      <c r="X115" s="3">
        <v>1680</v>
      </c>
      <c r="Y115" s="3">
        <v>0</v>
      </c>
      <c r="Z115" s="3">
        <v>849</v>
      </c>
      <c r="AA115" s="3">
        <v>30922</v>
      </c>
    </row>
    <row r="116" spans="1:27" ht="18" x14ac:dyDescent="0.35">
      <c r="A116" s="3">
        <v>115</v>
      </c>
      <c r="B116" s="3" t="s">
        <v>266</v>
      </c>
      <c r="C116" s="3" t="s">
        <v>267</v>
      </c>
      <c r="D116" s="3" t="s">
        <v>167</v>
      </c>
      <c r="E116" s="3"/>
      <c r="F116" s="3"/>
      <c r="G116" s="3">
        <v>16</v>
      </c>
      <c r="H116" s="3">
        <v>14429</v>
      </c>
      <c r="I116" s="3">
        <v>5050</v>
      </c>
      <c r="J116" s="3">
        <v>5449</v>
      </c>
      <c r="K116" s="3">
        <v>0</v>
      </c>
      <c r="L116" s="3">
        <v>333</v>
      </c>
      <c r="M116" s="3">
        <v>0</v>
      </c>
      <c r="N116" s="3">
        <v>25261</v>
      </c>
      <c r="O116" s="3">
        <v>1200</v>
      </c>
      <c r="P116" s="3">
        <v>0</v>
      </c>
      <c r="Q116" s="3">
        <v>200</v>
      </c>
      <c r="R116" s="3">
        <v>0</v>
      </c>
      <c r="S116" s="3">
        <v>0</v>
      </c>
      <c r="T116" s="3">
        <v>1425</v>
      </c>
      <c r="U116" s="3">
        <v>23836</v>
      </c>
      <c r="V116" s="3">
        <v>23312</v>
      </c>
      <c r="W116" s="4">
        <f>U116-V116</f>
        <v>524</v>
      </c>
      <c r="X116" s="3">
        <v>1200</v>
      </c>
      <c r="Y116" s="3">
        <v>0</v>
      </c>
      <c r="Z116" s="3">
        <v>1041</v>
      </c>
      <c r="AA116" s="3">
        <v>27502</v>
      </c>
    </row>
    <row r="117" spans="1:27" ht="18" x14ac:dyDescent="0.35">
      <c r="A117" s="3">
        <v>116</v>
      </c>
      <c r="B117" s="3" t="s">
        <v>268</v>
      </c>
      <c r="C117" s="3" t="s">
        <v>269</v>
      </c>
      <c r="D117" s="3" t="s">
        <v>140</v>
      </c>
      <c r="E117" s="3"/>
      <c r="F117" s="3"/>
      <c r="G117" s="3">
        <v>26</v>
      </c>
      <c r="H117" s="3">
        <v>33498</v>
      </c>
      <c r="I117" s="3">
        <v>11724</v>
      </c>
      <c r="J117" s="3">
        <v>14323</v>
      </c>
      <c r="K117" s="3">
        <v>0</v>
      </c>
      <c r="L117" s="3">
        <v>500</v>
      </c>
      <c r="M117" s="3">
        <v>0</v>
      </c>
      <c r="N117" s="3">
        <v>60045</v>
      </c>
      <c r="O117" s="3">
        <v>1800</v>
      </c>
      <c r="P117" s="3">
        <v>0</v>
      </c>
      <c r="Q117" s="3">
        <v>200</v>
      </c>
      <c r="R117" s="3">
        <v>0</v>
      </c>
      <c r="S117" s="3">
        <v>0</v>
      </c>
      <c r="T117" s="3">
        <v>2025</v>
      </c>
      <c r="U117" s="3">
        <v>58020</v>
      </c>
      <c r="V117" s="3">
        <v>58245</v>
      </c>
      <c r="W117" s="4">
        <f>U117-V117</f>
        <v>-225</v>
      </c>
      <c r="X117" s="3">
        <v>1800</v>
      </c>
      <c r="Y117" s="3">
        <v>0</v>
      </c>
      <c r="Z117" s="3">
        <v>1611</v>
      </c>
      <c r="AA117" s="3">
        <v>63456</v>
      </c>
    </row>
    <row r="118" spans="1:27" ht="18" x14ac:dyDescent="0.35">
      <c r="A118" s="3">
        <v>117</v>
      </c>
      <c r="B118" s="3" t="s">
        <v>270</v>
      </c>
      <c r="C118" s="3" t="s">
        <v>271</v>
      </c>
      <c r="D118" s="3" t="s">
        <v>106</v>
      </c>
      <c r="E118" s="3"/>
      <c r="F118" s="3"/>
      <c r="G118" s="3">
        <v>28</v>
      </c>
      <c r="H118" s="3">
        <v>19453</v>
      </c>
      <c r="I118" s="3">
        <v>6809</v>
      </c>
      <c r="J118" s="3">
        <v>7039</v>
      </c>
      <c r="K118" s="3">
        <v>0</v>
      </c>
      <c r="L118" s="3">
        <v>500</v>
      </c>
      <c r="M118" s="3">
        <v>0</v>
      </c>
      <c r="N118" s="3">
        <v>33801</v>
      </c>
      <c r="O118" s="3">
        <v>1800</v>
      </c>
      <c r="P118" s="3">
        <v>0</v>
      </c>
      <c r="Q118" s="3">
        <v>200</v>
      </c>
      <c r="R118" s="3">
        <v>0</v>
      </c>
      <c r="S118" s="3">
        <v>0</v>
      </c>
      <c r="T118" s="3">
        <v>2025</v>
      </c>
      <c r="U118" s="3">
        <v>31776</v>
      </c>
      <c r="V118" s="3">
        <v>32001</v>
      </c>
      <c r="W118" s="4">
        <f>U118-V118</f>
        <v>-225</v>
      </c>
      <c r="X118" s="3">
        <v>1800</v>
      </c>
      <c r="Y118" s="3">
        <v>0</v>
      </c>
      <c r="Z118" s="3">
        <v>936</v>
      </c>
      <c r="AA118" s="3">
        <v>36537</v>
      </c>
    </row>
    <row r="119" spans="1:27" ht="18" x14ac:dyDescent="0.35">
      <c r="A119" s="3">
        <v>118</v>
      </c>
      <c r="B119" s="3" t="s">
        <v>272</v>
      </c>
      <c r="C119" s="3" t="s">
        <v>273</v>
      </c>
      <c r="D119" s="3" t="s">
        <v>167</v>
      </c>
      <c r="E119" s="3"/>
      <c r="F119" s="3"/>
      <c r="G119" s="3">
        <v>26</v>
      </c>
      <c r="H119" s="3">
        <v>58859</v>
      </c>
      <c r="I119" s="3">
        <v>29429</v>
      </c>
      <c r="J119" s="3">
        <v>18647</v>
      </c>
      <c r="K119" s="3">
        <v>0</v>
      </c>
      <c r="L119" s="3">
        <v>500</v>
      </c>
      <c r="M119" s="3">
        <v>0</v>
      </c>
      <c r="N119" s="3">
        <v>107435</v>
      </c>
      <c r="O119" s="3">
        <v>1800</v>
      </c>
      <c r="P119" s="3">
        <v>0</v>
      </c>
      <c r="Q119" s="3">
        <v>200</v>
      </c>
      <c r="R119" s="3">
        <v>5874</v>
      </c>
      <c r="S119" s="3">
        <v>0</v>
      </c>
      <c r="T119" s="3">
        <v>7899</v>
      </c>
      <c r="U119" s="3">
        <v>99536</v>
      </c>
      <c r="V119" s="3">
        <v>98433</v>
      </c>
      <c r="W119" s="4">
        <f>U119-V119</f>
        <v>1103</v>
      </c>
      <c r="X119" s="3">
        <v>1800</v>
      </c>
      <c r="Y119" s="3">
        <v>0</v>
      </c>
      <c r="Z119" s="3">
        <v>2831</v>
      </c>
      <c r="AA119" s="3">
        <v>112066</v>
      </c>
    </row>
    <row r="120" spans="1:27" ht="18" x14ac:dyDescent="0.35">
      <c r="A120" s="3">
        <v>119</v>
      </c>
      <c r="B120" s="3" t="s">
        <v>274</v>
      </c>
      <c r="C120" s="3" t="s">
        <v>275</v>
      </c>
      <c r="D120" s="3" t="s">
        <v>30</v>
      </c>
      <c r="E120" s="3"/>
      <c r="F120" s="3"/>
      <c r="G120" s="3">
        <v>26</v>
      </c>
      <c r="H120" s="3">
        <v>13734</v>
      </c>
      <c r="I120" s="3">
        <v>4807</v>
      </c>
      <c r="J120" s="3">
        <v>4823</v>
      </c>
      <c r="K120" s="3">
        <v>0</v>
      </c>
      <c r="L120" s="3">
        <v>500</v>
      </c>
      <c r="M120" s="3">
        <v>0</v>
      </c>
      <c r="N120" s="3">
        <v>23864</v>
      </c>
      <c r="O120" s="3">
        <v>1800</v>
      </c>
      <c r="P120" s="3">
        <v>0</v>
      </c>
      <c r="Q120" s="3">
        <v>200</v>
      </c>
      <c r="R120" s="3">
        <v>0</v>
      </c>
      <c r="S120" s="3">
        <v>0</v>
      </c>
      <c r="T120" s="3">
        <v>2025</v>
      </c>
      <c r="U120" s="3">
        <v>21839</v>
      </c>
      <c r="V120" s="3">
        <v>21934</v>
      </c>
      <c r="W120" s="4">
        <f>U120-V120</f>
        <v>-95</v>
      </c>
      <c r="X120" s="3">
        <v>1800</v>
      </c>
      <c r="Y120" s="3">
        <v>0</v>
      </c>
      <c r="Z120" s="3">
        <v>661</v>
      </c>
      <c r="AA120" s="3">
        <v>26325</v>
      </c>
    </row>
    <row r="121" spans="1:27" ht="18" x14ac:dyDescent="0.35">
      <c r="A121" s="3">
        <v>120</v>
      </c>
      <c r="B121" s="3" t="s">
        <v>276</v>
      </c>
      <c r="C121" s="3" t="s">
        <v>277</v>
      </c>
      <c r="D121" s="3" t="s">
        <v>36</v>
      </c>
      <c r="E121" s="3"/>
      <c r="F121" s="3"/>
      <c r="G121" s="3">
        <v>26</v>
      </c>
      <c r="H121" s="3">
        <v>19668</v>
      </c>
      <c r="I121" s="3">
        <v>6884</v>
      </c>
      <c r="J121" s="3">
        <v>7150</v>
      </c>
      <c r="K121" s="3">
        <v>0</v>
      </c>
      <c r="L121" s="3">
        <v>500</v>
      </c>
      <c r="M121" s="3">
        <v>0</v>
      </c>
      <c r="N121" s="3">
        <v>34202</v>
      </c>
      <c r="O121" s="3">
        <v>1800</v>
      </c>
      <c r="P121" s="3">
        <v>0</v>
      </c>
      <c r="Q121" s="3">
        <v>0</v>
      </c>
      <c r="R121" s="3">
        <v>0</v>
      </c>
      <c r="S121" s="3">
        <v>0</v>
      </c>
      <c r="T121" s="3">
        <v>1825</v>
      </c>
      <c r="U121" s="3">
        <v>32377</v>
      </c>
      <c r="V121" s="3">
        <v>32402</v>
      </c>
      <c r="W121" s="4">
        <f>U121-V121</f>
        <v>-25</v>
      </c>
      <c r="X121" s="3">
        <v>1800</v>
      </c>
      <c r="Y121" s="3">
        <v>0</v>
      </c>
      <c r="Z121" s="3">
        <v>946</v>
      </c>
      <c r="AA121" s="3">
        <v>36948</v>
      </c>
    </row>
    <row r="122" spans="1:27" ht="18" x14ac:dyDescent="0.35">
      <c r="A122" s="3">
        <v>121</v>
      </c>
      <c r="B122" s="3" t="s">
        <v>278</v>
      </c>
      <c r="C122" s="3" t="s">
        <v>279</v>
      </c>
      <c r="D122" s="3" t="s">
        <v>36</v>
      </c>
      <c r="E122" s="3"/>
      <c r="F122" s="3"/>
      <c r="G122" s="3">
        <v>26</v>
      </c>
      <c r="H122" s="3">
        <v>17988</v>
      </c>
      <c r="I122" s="3">
        <v>6296</v>
      </c>
      <c r="J122" s="3">
        <v>6279</v>
      </c>
      <c r="K122" s="3">
        <v>0</v>
      </c>
      <c r="L122" s="3">
        <v>500</v>
      </c>
      <c r="M122" s="3">
        <v>0</v>
      </c>
      <c r="N122" s="3">
        <v>31063</v>
      </c>
      <c r="O122" s="3">
        <v>1800</v>
      </c>
      <c r="P122" s="3">
        <v>0</v>
      </c>
      <c r="Q122" s="3">
        <v>0</v>
      </c>
      <c r="R122" s="3">
        <v>0</v>
      </c>
      <c r="S122" s="3">
        <v>0</v>
      </c>
      <c r="T122" s="3">
        <v>1825</v>
      </c>
      <c r="U122" s="3">
        <v>29238</v>
      </c>
      <c r="V122" s="3">
        <v>29263</v>
      </c>
      <c r="W122" s="4">
        <f>U122-V122</f>
        <v>-25</v>
      </c>
      <c r="X122" s="3">
        <v>1800</v>
      </c>
      <c r="Y122" s="3">
        <v>0</v>
      </c>
      <c r="Z122" s="3">
        <v>865</v>
      </c>
      <c r="AA122" s="3">
        <v>33728</v>
      </c>
    </row>
    <row r="123" spans="1:27" ht="18" x14ac:dyDescent="0.35">
      <c r="A123" s="3">
        <v>122</v>
      </c>
      <c r="B123" s="3" t="s">
        <v>280</v>
      </c>
      <c r="C123" s="3" t="s">
        <v>281</v>
      </c>
      <c r="D123" s="3" t="s">
        <v>117</v>
      </c>
      <c r="E123" s="3"/>
      <c r="F123" s="3"/>
      <c r="G123" s="3">
        <v>26</v>
      </c>
      <c r="H123" s="3">
        <v>18389</v>
      </c>
      <c r="I123" s="3">
        <v>6436</v>
      </c>
      <c r="J123" s="3">
        <v>6487</v>
      </c>
      <c r="K123" s="3">
        <v>0</v>
      </c>
      <c r="L123" s="3">
        <v>500</v>
      </c>
      <c r="M123" s="3">
        <v>0</v>
      </c>
      <c r="N123" s="3">
        <v>31812</v>
      </c>
      <c r="O123" s="3">
        <v>1800</v>
      </c>
      <c r="P123" s="3">
        <v>0</v>
      </c>
      <c r="Q123" s="3">
        <v>200</v>
      </c>
      <c r="R123" s="3">
        <v>0</v>
      </c>
      <c r="S123" s="3">
        <v>0</v>
      </c>
      <c r="T123" s="3">
        <v>2025</v>
      </c>
      <c r="U123" s="3">
        <v>29787</v>
      </c>
      <c r="V123" s="3">
        <v>22939</v>
      </c>
      <c r="W123" s="4">
        <f>U123-V123</f>
        <v>6848</v>
      </c>
      <c r="X123" s="3">
        <v>1800</v>
      </c>
      <c r="Y123" s="3">
        <v>0</v>
      </c>
      <c r="Z123" s="3">
        <v>885</v>
      </c>
      <c r="AA123" s="3">
        <v>34497</v>
      </c>
    </row>
    <row r="124" spans="1:27" ht="18" x14ac:dyDescent="0.35">
      <c r="A124" s="3">
        <v>123</v>
      </c>
      <c r="B124" s="3" t="s">
        <v>282</v>
      </c>
      <c r="C124" s="3" t="s">
        <v>283</v>
      </c>
      <c r="D124" s="3" t="s">
        <v>106</v>
      </c>
      <c r="E124" s="3"/>
      <c r="F124" s="3"/>
      <c r="G124" s="3">
        <v>26</v>
      </c>
      <c r="H124" s="3">
        <v>30488</v>
      </c>
      <c r="I124" s="3">
        <v>10671</v>
      </c>
      <c r="J124" s="3">
        <v>12762</v>
      </c>
      <c r="K124" s="3">
        <v>0</v>
      </c>
      <c r="L124" s="3">
        <v>500</v>
      </c>
      <c r="M124" s="3">
        <v>0</v>
      </c>
      <c r="N124" s="3">
        <v>54421</v>
      </c>
      <c r="O124" s="3">
        <v>1800</v>
      </c>
      <c r="P124" s="3">
        <v>0</v>
      </c>
      <c r="Q124" s="3">
        <v>200</v>
      </c>
      <c r="R124" s="3">
        <v>0</v>
      </c>
      <c r="S124" s="3">
        <v>0</v>
      </c>
      <c r="T124" s="3">
        <v>2025</v>
      </c>
      <c r="U124" s="3">
        <v>52396</v>
      </c>
      <c r="V124" s="3">
        <v>52621</v>
      </c>
      <c r="W124" s="4">
        <f>U124-V124</f>
        <v>-225</v>
      </c>
      <c r="X124" s="3">
        <v>1800</v>
      </c>
      <c r="Y124" s="3">
        <v>0</v>
      </c>
      <c r="Z124" s="3">
        <v>1466</v>
      </c>
      <c r="AA124" s="3">
        <v>57687</v>
      </c>
    </row>
    <row r="125" spans="1:27" ht="18" x14ac:dyDescent="0.35">
      <c r="A125" s="3">
        <v>124</v>
      </c>
      <c r="B125" s="3" t="s">
        <v>284</v>
      </c>
      <c r="C125" s="3" t="s">
        <v>285</v>
      </c>
      <c r="D125" s="3" t="s">
        <v>106</v>
      </c>
      <c r="E125" s="3"/>
      <c r="F125" s="3"/>
      <c r="G125" s="3">
        <v>26</v>
      </c>
      <c r="H125" s="3">
        <v>12283</v>
      </c>
      <c r="I125" s="3">
        <v>4299</v>
      </c>
      <c r="J125" s="3">
        <v>4570</v>
      </c>
      <c r="K125" s="3">
        <v>0</v>
      </c>
      <c r="L125" s="3">
        <v>0</v>
      </c>
      <c r="M125" s="3">
        <v>0</v>
      </c>
      <c r="N125" s="3">
        <v>21152</v>
      </c>
      <c r="O125" s="3">
        <v>1800</v>
      </c>
      <c r="P125" s="3">
        <v>0</v>
      </c>
      <c r="Q125" s="3">
        <v>200</v>
      </c>
      <c r="R125" s="3">
        <v>0</v>
      </c>
      <c r="S125" s="3">
        <v>0</v>
      </c>
      <c r="T125" s="3">
        <v>2025</v>
      </c>
      <c r="U125" s="3">
        <v>19127</v>
      </c>
      <c r="V125" s="3">
        <v>15904</v>
      </c>
      <c r="W125" s="4">
        <f>U125-V125</f>
        <v>3223</v>
      </c>
      <c r="X125" s="3">
        <v>1800</v>
      </c>
      <c r="Y125" s="3">
        <v>0</v>
      </c>
      <c r="Z125" s="3">
        <v>591</v>
      </c>
      <c r="AA125" s="3">
        <v>23543</v>
      </c>
    </row>
    <row r="126" spans="1:27" ht="18" x14ac:dyDescent="0.35">
      <c r="A126" s="3">
        <v>125</v>
      </c>
      <c r="B126" s="3" t="s">
        <v>286</v>
      </c>
      <c r="C126" s="3" t="s">
        <v>287</v>
      </c>
      <c r="D126" s="3" t="s">
        <v>140</v>
      </c>
      <c r="E126" s="3"/>
      <c r="F126" s="3"/>
      <c r="G126" s="3">
        <v>26</v>
      </c>
      <c r="H126" s="3">
        <v>14541</v>
      </c>
      <c r="I126" s="3">
        <v>5090</v>
      </c>
      <c r="J126" s="3">
        <v>5241</v>
      </c>
      <c r="K126" s="3">
        <v>0</v>
      </c>
      <c r="L126" s="3">
        <v>500</v>
      </c>
      <c r="M126" s="3">
        <v>0</v>
      </c>
      <c r="N126" s="3">
        <v>25372</v>
      </c>
      <c r="O126" s="3">
        <v>1800</v>
      </c>
      <c r="P126" s="3">
        <v>0</v>
      </c>
      <c r="Q126" s="3">
        <v>200</v>
      </c>
      <c r="R126" s="3">
        <v>0</v>
      </c>
      <c r="S126" s="3">
        <v>0</v>
      </c>
      <c r="T126" s="3">
        <v>2025</v>
      </c>
      <c r="U126" s="3">
        <v>23347</v>
      </c>
      <c r="V126" s="3">
        <v>19453</v>
      </c>
      <c r="W126" s="4">
        <f>U126-V126</f>
        <v>3894</v>
      </c>
      <c r="X126" s="3">
        <v>1800</v>
      </c>
      <c r="Y126" s="3">
        <v>0</v>
      </c>
      <c r="Z126" s="3">
        <v>699</v>
      </c>
      <c r="AA126" s="3">
        <v>27871</v>
      </c>
    </row>
    <row r="127" spans="1:27" ht="18" x14ac:dyDescent="0.35">
      <c r="A127" s="3">
        <v>126</v>
      </c>
      <c r="B127" s="3" t="s">
        <v>288</v>
      </c>
      <c r="C127" s="3" t="s">
        <v>289</v>
      </c>
      <c r="D127" s="3" t="s">
        <v>106</v>
      </c>
      <c r="E127" s="3"/>
      <c r="F127" s="3"/>
      <c r="G127" s="3">
        <v>26</v>
      </c>
      <c r="H127" s="3">
        <v>18036</v>
      </c>
      <c r="I127" s="3">
        <v>6313</v>
      </c>
      <c r="J127" s="3">
        <v>6304</v>
      </c>
      <c r="K127" s="3">
        <v>0</v>
      </c>
      <c r="L127" s="3">
        <v>500</v>
      </c>
      <c r="M127" s="3">
        <v>0</v>
      </c>
      <c r="N127" s="3">
        <v>31153</v>
      </c>
      <c r="O127" s="3">
        <v>1800</v>
      </c>
      <c r="P127" s="3">
        <v>0</v>
      </c>
      <c r="Q127" s="3">
        <v>200</v>
      </c>
      <c r="R127" s="3">
        <v>0</v>
      </c>
      <c r="S127" s="3">
        <v>0</v>
      </c>
      <c r="T127" s="3">
        <v>2025</v>
      </c>
      <c r="U127" s="3">
        <v>29128</v>
      </c>
      <c r="V127" s="3">
        <v>29353</v>
      </c>
      <c r="W127" s="4">
        <f>U127-V127</f>
        <v>-225</v>
      </c>
      <c r="X127" s="3">
        <v>1800</v>
      </c>
      <c r="Y127" s="3">
        <v>0</v>
      </c>
      <c r="Z127" s="3">
        <v>868</v>
      </c>
      <c r="AA127" s="3">
        <v>33821</v>
      </c>
    </row>
    <row r="128" spans="1:27" ht="18" x14ac:dyDescent="0.35">
      <c r="A128" s="3">
        <v>127</v>
      </c>
      <c r="B128" s="3" t="s">
        <v>290</v>
      </c>
      <c r="C128" s="3" t="s">
        <v>291</v>
      </c>
      <c r="D128" s="3" t="s">
        <v>106</v>
      </c>
      <c r="E128" s="3"/>
      <c r="F128" s="3"/>
      <c r="G128" s="3">
        <v>26</v>
      </c>
      <c r="H128" s="3">
        <v>16583</v>
      </c>
      <c r="I128" s="3">
        <v>8292</v>
      </c>
      <c r="J128" s="3">
        <v>3063</v>
      </c>
      <c r="K128" s="3">
        <v>0</v>
      </c>
      <c r="L128" s="3">
        <v>500</v>
      </c>
      <c r="M128" s="3">
        <v>0</v>
      </c>
      <c r="N128" s="3">
        <v>28438</v>
      </c>
      <c r="O128" s="3">
        <v>1800</v>
      </c>
      <c r="P128" s="3">
        <v>0</v>
      </c>
      <c r="Q128" s="3">
        <v>200</v>
      </c>
      <c r="R128" s="3">
        <v>0</v>
      </c>
      <c r="S128" s="3">
        <v>0</v>
      </c>
      <c r="T128" s="3">
        <v>2025</v>
      </c>
      <c r="U128" s="3">
        <v>26413</v>
      </c>
      <c r="V128" s="3">
        <v>26638</v>
      </c>
      <c r="W128" s="4">
        <f>U128-V128</f>
        <v>-225</v>
      </c>
      <c r="X128" s="3">
        <v>1800</v>
      </c>
      <c r="Y128" s="3">
        <v>0</v>
      </c>
      <c r="Z128" s="3">
        <v>798</v>
      </c>
      <c r="AA128" s="3">
        <v>31036</v>
      </c>
    </row>
    <row r="129" spans="1:27" ht="18" x14ac:dyDescent="0.35">
      <c r="A129" s="3">
        <v>128</v>
      </c>
      <c r="B129" s="3" t="s">
        <v>292</v>
      </c>
      <c r="C129" s="3" t="s">
        <v>293</v>
      </c>
      <c r="D129" s="3" t="s">
        <v>143</v>
      </c>
      <c r="E129" s="3"/>
      <c r="F129" s="3"/>
      <c r="G129" s="3">
        <v>26</v>
      </c>
      <c r="H129" s="3">
        <v>16621</v>
      </c>
      <c r="I129" s="3">
        <v>8310</v>
      </c>
      <c r="J129" s="3">
        <v>3076</v>
      </c>
      <c r="K129" s="3">
        <v>0</v>
      </c>
      <c r="L129" s="3">
        <v>500</v>
      </c>
      <c r="M129" s="3">
        <v>0</v>
      </c>
      <c r="N129" s="3">
        <v>28507</v>
      </c>
      <c r="O129" s="3">
        <v>1800</v>
      </c>
      <c r="P129" s="3">
        <v>0</v>
      </c>
      <c r="Q129" s="3">
        <v>200</v>
      </c>
      <c r="R129" s="3">
        <v>0</v>
      </c>
      <c r="S129" s="3">
        <v>0</v>
      </c>
      <c r="T129" s="3">
        <v>2025</v>
      </c>
      <c r="U129" s="3">
        <v>26482</v>
      </c>
      <c r="V129" s="3">
        <v>26707</v>
      </c>
      <c r="W129" s="4">
        <f>U129-V129</f>
        <v>-225</v>
      </c>
      <c r="X129" s="3">
        <v>1800</v>
      </c>
      <c r="Y129" s="3">
        <v>0</v>
      </c>
      <c r="Z129" s="3">
        <v>799</v>
      </c>
      <c r="AA129" s="3">
        <v>31106</v>
      </c>
    </row>
    <row r="130" spans="1:27" ht="18" x14ac:dyDescent="0.35">
      <c r="A130" s="3">
        <v>129</v>
      </c>
      <c r="B130" s="3" t="s">
        <v>294</v>
      </c>
      <c r="C130" s="3" t="s">
        <v>295</v>
      </c>
      <c r="D130" s="3" t="s">
        <v>106</v>
      </c>
      <c r="E130" s="3"/>
      <c r="F130" s="3"/>
      <c r="G130" s="3">
        <v>26</v>
      </c>
      <c r="H130" s="3">
        <v>16621</v>
      </c>
      <c r="I130" s="3">
        <v>8310</v>
      </c>
      <c r="J130" s="3">
        <v>3076</v>
      </c>
      <c r="K130" s="3">
        <v>0</v>
      </c>
      <c r="L130" s="3">
        <v>500</v>
      </c>
      <c r="M130" s="3">
        <v>0</v>
      </c>
      <c r="N130" s="3">
        <v>28507</v>
      </c>
      <c r="O130" s="3">
        <v>1800</v>
      </c>
      <c r="P130" s="3">
        <v>0</v>
      </c>
      <c r="Q130" s="3">
        <v>200</v>
      </c>
      <c r="R130" s="3">
        <v>0</v>
      </c>
      <c r="S130" s="3">
        <v>0</v>
      </c>
      <c r="T130" s="3">
        <v>2025</v>
      </c>
      <c r="U130" s="3">
        <v>26482</v>
      </c>
      <c r="V130" s="3">
        <v>26707</v>
      </c>
      <c r="W130" s="4">
        <f>U130-V130</f>
        <v>-225</v>
      </c>
      <c r="X130" s="3">
        <v>1800</v>
      </c>
      <c r="Y130" s="3">
        <v>0</v>
      </c>
      <c r="Z130" s="3">
        <v>799</v>
      </c>
      <c r="AA130" s="3">
        <v>31106</v>
      </c>
    </row>
    <row r="131" spans="1:27" ht="18" x14ac:dyDescent="0.35">
      <c r="A131" s="3">
        <v>130</v>
      </c>
      <c r="B131" s="3" t="s">
        <v>296</v>
      </c>
      <c r="C131" s="3" t="s">
        <v>297</v>
      </c>
      <c r="D131" s="3" t="s">
        <v>106</v>
      </c>
      <c r="E131" s="3"/>
      <c r="F131" s="3"/>
      <c r="G131" s="3">
        <v>26</v>
      </c>
      <c r="H131" s="3">
        <v>14833</v>
      </c>
      <c r="I131" s="3">
        <v>7417</v>
      </c>
      <c r="J131" s="3">
        <v>2418</v>
      </c>
      <c r="K131" s="3">
        <v>0</v>
      </c>
      <c r="L131" s="3">
        <v>500</v>
      </c>
      <c r="M131" s="3">
        <v>0</v>
      </c>
      <c r="N131" s="3">
        <v>25168</v>
      </c>
      <c r="O131" s="3">
        <v>1800</v>
      </c>
      <c r="P131" s="3">
        <v>0</v>
      </c>
      <c r="Q131" s="3">
        <v>200</v>
      </c>
      <c r="R131" s="3">
        <v>0</v>
      </c>
      <c r="S131" s="3">
        <v>0</v>
      </c>
      <c r="T131" s="3">
        <v>2025</v>
      </c>
      <c r="U131" s="3">
        <v>23143</v>
      </c>
      <c r="V131" s="3">
        <v>23368</v>
      </c>
      <c r="W131" s="4">
        <f>U131-V131</f>
        <v>-225</v>
      </c>
      <c r="X131" s="3">
        <v>1800</v>
      </c>
      <c r="Y131" s="3">
        <v>0</v>
      </c>
      <c r="Z131" s="3">
        <v>713</v>
      </c>
      <c r="AA131" s="3">
        <v>27681</v>
      </c>
    </row>
    <row r="132" spans="1:27" ht="18" x14ac:dyDescent="0.35">
      <c r="A132" s="3">
        <v>131</v>
      </c>
      <c r="B132" s="3" t="s">
        <v>298</v>
      </c>
      <c r="C132" s="3" t="s">
        <v>299</v>
      </c>
      <c r="D132" s="3" t="s">
        <v>106</v>
      </c>
      <c r="E132" s="3"/>
      <c r="F132" s="3"/>
      <c r="G132" s="3">
        <v>26</v>
      </c>
      <c r="H132" s="3">
        <v>16917</v>
      </c>
      <c r="I132" s="3">
        <v>8458</v>
      </c>
      <c r="J132" s="3">
        <v>3186</v>
      </c>
      <c r="K132" s="3">
        <v>0</v>
      </c>
      <c r="L132" s="3">
        <v>500</v>
      </c>
      <c r="M132" s="3">
        <v>0</v>
      </c>
      <c r="N132" s="3">
        <v>29061</v>
      </c>
      <c r="O132" s="3">
        <v>1800</v>
      </c>
      <c r="P132" s="3">
        <v>0</v>
      </c>
      <c r="Q132" s="3">
        <v>200</v>
      </c>
      <c r="R132" s="3">
        <v>0</v>
      </c>
      <c r="S132" s="3">
        <v>0</v>
      </c>
      <c r="T132" s="3">
        <v>2025</v>
      </c>
      <c r="U132" s="3">
        <v>27036</v>
      </c>
      <c r="V132" s="3">
        <v>27261</v>
      </c>
      <c r="W132" s="4">
        <f>U132-V132</f>
        <v>-225</v>
      </c>
      <c r="X132" s="3">
        <v>1800</v>
      </c>
      <c r="Y132" s="3">
        <v>0</v>
      </c>
      <c r="Z132" s="3">
        <v>814</v>
      </c>
      <c r="AA132" s="3">
        <v>31675</v>
      </c>
    </row>
    <row r="133" spans="1:27" ht="18" x14ac:dyDescent="0.35">
      <c r="A133" s="3">
        <v>132</v>
      </c>
      <c r="B133" s="3" t="s">
        <v>300</v>
      </c>
      <c r="C133" s="3" t="s">
        <v>301</v>
      </c>
      <c r="D133" s="3" t="s">
        <v>106</v>
      </c>
      <c r="E133" s="3"/>
      <c r="F133" s="3"/>
      <c r="G133" s="3">
        <v>26</v>
      </c>
      <c r="H133" s="3">
        <v>16583</v>
      </c>
      <c r="I133" s="3">
        <v>8292</v>
      </c>
      <c r="J133" s="3">
        <v>3063</v>
      </c>
      <c r="K133" s="3">
        <v>0</v>
      </c>
      <c r="L133" s="3">
        <v>500</v>
      </c>
      <c r="M133" s="3">
        <v>0</v>
      </c>
      <c r="N133" s="3">
        <v>28438</v>
      </c>
      <c r="O133" s="3">
        <v>1800</v>
      </c>
      <c r="P133" s="3">
        <v>0</v>
      </c>
      <c r="Q133" s="3">
        <v>200</v>
      </c>
      <c r="R133" s="3">
        <v>0</v>
      </c>
      <c r="S133" s="3">
        <v>0</v>
      </c>
      <c r="T133" s="3">
        <v>2025</v>
      </c>
      <c r="U133" s="3">
        <v>26413</v>
      </c>
      <c r="V133" s="3">
        <v>26638</v>
      </c>
      <c r="W133" s="4">
        <f>U133-V133</f>
        <v>-225</v>
      </c>
      <c r="X133" s="3">
        <v>1800</v>
      </c>
      <c r="Y133" s="3">
        <v>0</v>
      </c>
      <c r="Z133" s="3">
        <v>798</v>
      </c>
      <c r="AA133" s="3">
        <v>31036</v>
      </c>
    </row>
    <row r="134" spans="1:27" ht="18" x14ac:dyDescent="0.35">
      <c r="A134" s="3">
        <v>133</v>
      </c>
      <c r="B134" s="3" t="s">
        <v>302</v>
      </c>
      <c r="C134" s="3" t="s">
        <v>303</v>
      </c>
      <c r="D134" s="3" t="s">
        <v>117</v>
      </c>
      <c r="E134" s="3"/>
      <c r="F134" s="3"/>
      <c r="G134" s="3">
        <v>26</v>
      </c>
      <c r="H134" s="3">
        <v>16583</v>
      </c>
      <c r="I134" s="3">
        <v>8292</v>
      </c>
      <c r="J134" s="3">
        <v>3063</v>
      </c>
      <c r="K134" s="3">
        <v>0</v>
      </c>
      <c r="L134" s="3">
        <v>500</v>
      </c>
      <c r="M134" s="3">
        <v>0</v>
      </c>
      <c r="N134" s="3">
        <v>28438</v>
      </c>
      <c r="O134" s="3">
        <v>1800</v>
      </c>
      <c r="P134" s="3">
        <v>0</v>
      </c>
      <c r="Q134" s="3">
        <v>200</v>
      </c>
      <c r="R134" s="3">
        <v>0</v>
      </c>
      <c r="S134" s="3">
        <v>0</v>
      </c>
      <c r="T134" s="3">
        <v>2025</v>
      </c>
      <c r="U134" s="3">
        <v>26413</v>
      </c>
      <c r="V134" s="3">
        <v>26438</v>
      </c>
      <c r="W134" s="4">
        <f>U134-V134</f>
        <v>-25</v>
      </c>
      <c r="X134" s="3">
        <v>1800</v>
      </c>
      <c r="Y134" s="3">
        <v>0</v>
      </c>
      <c r="Z134" s="3">
        <v>798</v>
      </c>
      <c r="AA134" s="3">
        <v>31036</v>
      </c>
    </row>
    <row r="135" spans="1:27" ht="18" x14ac:dyDescent="0.35">
      <c r="A135" s="3">
        <v>134</v>
      </c>
      <c r="B135" s="3" t="s">
        <v>304</v>
      </c>
      <c r="C135" s="3" t="s">
        <v>305</v>
      </c>
      <c r="D135" s="3" t="s">
        <v>123</v>
      </c>
      <c r="E135" s="3"/>
      <c r="F135" s="3"/>
      <c r="G135" s="3">
        <v>26</v>
      </c>
      <c r="H135" s="3">
        <v>13333</v>
      </c>
      <c r="I135" s="3">
        <v>6667</v>
      </c>
      <c r="J135" s="3">
        <v>1865</v>
      </c>
      <c r="K135" s="3">
        <v>0</v>
      </c>
      <c r="L135" s="3">
        <v>500</v>
      </c>
      <c r="M135" s="3">
        <v>0</v>
      </c>
      <c r="N135" s="3">
        <v>22365</v>
      </c>
      <c r="O135" s="3">
        <v>1800</v>
      </c>
      <c r="P135" s="3">
        <v>0</v>
      </c>
      <c r="Q135" s="3">
        <v>200</v>
      </c>
      <c r="R135" s="3">
        <v>0</v>
      </c>
      <c r="S135" s="3">
        <v>0</v>
      </c>
      <c r="T135" s="3">
        <v>2025</v>
      </c>
      <c r="U135" s="3">
        <v>20340</v>
      </c>
      <c r="V135" s="3">
        <v>20365</v>
      </c>
      <c r="W135" s="4">
        <f>U135-V135</f>
        <v>-25</v>
      </c>
      <c r="X135" s="3">
        <v>1800</v>
      </c>
      <c r="Y135" s="3">
        <v>0</v>
      </c>
      <c r="Z135" s="3">
        <v>641</v>
      </c>
      <c r="AA135" s="3">
        <v>24806</v>
      </c>
    </row>
    <row r="136" spans="1:27" ht="18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4">
        <f>SUBTOTAL(9,W2:W135)</f>
        <v>24591</v>
      </c>
      <c r="X136" s="3"/>
      <c r="Y136" s="3"/>
      <c r="Z136" s="3"/>
      <c r="AA13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Tanima Mukherjee</cp:lastModifiedBy>
  <dcterms:created xsi:type="dcterms:W3CDTF">2026-07-02T04:43:49Z</dcterms:created>
  <dcterms:modified xsi:type="dcterms:W3CDTF">2026-07-02T04:49:49Z</dcterms:modified>
</cp:coreProperties>
</file>